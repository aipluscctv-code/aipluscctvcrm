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xception\All About Claude\SH Work\AI Plus\aiplus-crm\sheets-templates\"/>
    </mc:Choice>
  </mc:AlternateContent>
  <xr:revisionPtr revIDLastSave="0" documentId="13_ncr:1_{127ABB1E-BD5C-421E-B7FB-BF8630E7DA0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거래장부" sheetId="1" r:id="rId1"/>
    <sheet name="월별요약" sheetId="2" r:id="rId2"/>
    <sheet name="세금계산기" sheetId="3" r:id="rId3"/>
    <sheet name="사용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F4" i="2"/>
  <c r="B8" i="3"/>
  <c r="B12" i="3" s="1"/>
  <c r="C15" i="2"/>
  <c r="B15" i="2"/>
  <c r="I15" i="2" s="1"/>
  <c r="B14" i="2"/>
  <c r="I14" i="2" s="1"/>
  <c r="B13" i="2"/>
  <c r="I13" i="2" s="1"/>
  <c r="B12" i="2"/>
  <c r="I12" i="2" s="1"/>
  <c r="B11" i="2"/>
  <c r="I11" i="2" s="1"/>
  <c r="B10" i="2"/>
  <c r="I10" i="2" s="1"/>
  <c r="B9" i="2"/>
  <c r="I9" i="2" s="1"/>
  <c r="B8" i="2"/>
  <c r="I8" i="2" s="1"/>
  <c r="B7" i="2"/>
  <c r="I7" i="2" s="1"/>
  <c r="B6" i="2"/>
  <c r="I6" i="2" s="1"/>
  <c r="B5" i="2"/>
  <c r="I5" i="2" s="1"/>
  <c r="B4" i="2"/>
  <c r="B17" i="2" s="1"/>
  <c r="B5" i="3" s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I9" i="1"/>
  <c r="N8" i="1"/>
  <c r="M8" i="1"/>
  <c r="I8" i="1"/>
  <c r="N7" i="1"/>
  <c r="M7" i="1"/>
  <c r="E15" i="2" s="1"/>
  <c r="I7" i="1"/>
  <c r="N6" i="1"/>
  <c r="M6" i="1"/>
  <c r="D14" i="2" s="1"/>
  <c r="I6" i="1"/>
  <c r="N5" i="1"/>
  <c r="M5" i="1"/>
  <c r="C10" i="2" s="1"/>
  <c r="I5" i="1"/>
  <c r="N4" i="1"/>
  <c r="M4" i="1"/>
  <c r="I4" i="1"/>
  <c r="B11" i="3" l="1"/>
  <c r="B13" i="3" s="1"/>
  <c r="B6" i="3"/>
  <c r="C6" i="2"/>
  <c r="C8" i="2"/>
  <c r="C12" i="2"/>
  <c r="D15" i="2"/>
  <c r="F15" i="2" s="1"/>
  <c r="G15" i="2" s="1"/>
  <c r="H15" i="2" s="1"/>
  <c r="C7" i="2"/>
  <c r="C11" i="2"/>
  <c r="C14" i="2"/>
  <c r="D4" i="2"/>
  <c r="D5" i="2"/>
  <c r="D6" i="2"/>
  <c r="D7" i="2"/>
  <c r="D8" i="2"/>
  <c r="D9" i="2"/>
  <c r="D10" i="2"/>
  <c r="F10" i="2" s="1"/>
  <c r="G10" i="2" s="1"/>
  <c r="H10" i="2" s="1"/>
  <c r="D11" i="2"/>
  <c r="D12" i="2"/>
  <c r="D13" i="2"/>
  <c r="E4" i="2"/>
  <c r="E5" i="2"/>
  <c r="E6" i="2"/>
  <c r="E7" i="2"/>
  <c r="E8" i="2"/>
  <c r="E9" i="2"/>
  <c r="E10" i="2"/>
  <c r="E11" i="2"/>
  <c r="E12" i="2"/>
  <c r="E13" i="2"/>
  <c r="E14" i="2"/>
  <c r="C5" i="2"/>
  <c r="C9" i="2"/>
  <c r="F9" i="2" s="1"/>
  <c r="G9" i="2" s="1"/>
  <c r="H9" i="2" s="1"/>
  <c r="C13" i="2"/>
  <c r="C4" i="2"/>
  <c r="I4" i="2"/>
  <c r="I17" i="2" s="1"/>
  <c r="E17" i="2" l="1"/>
  <c r="F8" i="2"/>
  <c r="G8" i="2" s="1"/>
  <c r="H8" i="2" s="1"/>
  <c r="C17" i="2"/>
  <c r="F6" i="2"/>
  <c r="G6" i="2" s="1"/>
  <c r="H6" i="2" s="1"/>
  <c r="F12" i="2"/>
  <c r="G12" i="2" s="1"/>
  <c r="H12" i="2" s="1"/>
  <c r="D17" i="2"/>
  <c r="F13" i="2"/>
  <c r="G13" i="2" s="1"/>
  <c r="H13" i="2" s="1"/>
  <c r="F14" i="2"/>
  <c r="G14" i="2" s="1"/>
  <c r="H14" i="2" s="1"/>
  <c r="F11" i="2"/>
  <c r="G11" i="2" s="1"/>
  <c r="H11" i="2" s="1"/>
  <c r="F5" i="2"/>
  <c r="G5" i="2" s="1"/>
  <c r="H5" i="2" s="1"/>
  <c r="F7" i="2"/>
  <c r="G7" i="2" s="1"/>
  <c r="H7" i="2" s="1"/>
  <c r="F17" i="2" l="1"/>
  <c r="B16" i="3" s="1"/>
  <c r="B17" i="3" s="1"/>
  <c r="G4" i="2"/>
  <c r="H4" i="2" l="1"/>
  <c r="G17" i="2"/>
  <c r="H17" i="2" s="1"/>
</calcChain>
</file>

<file path=xl/sharedStrings.xml><?xml version="1.0" encoding="utf-8"?>
<sst xmlns="http://schemas.openxmlformats.org/spreadsheetml/2006/main" count="120" uniqueCount="102">
  <si>
    <t>CCTV 사업 거래 장부</t>
  </si>
  <si>
    <t>거래유형 입력값: 매출 / 재료비 / 인건비 / 교통비 / 통신비 / 광고비 / 기타비용   |   날짜 입력 시 월·분기 자동계산</t>
  </si>
  <si>
    <t>날짜</t>
  </si>
  <si>
    <t>거래유형</t>
  </si>
  <si>
    <t>상대방</t>
  </si>
  <si>
    <t>지역</t>
  </si>
  <si>
    <t>고객 전화번호</t>
  </si>
  <si>
    <t>품목/항목</t>
  </si>
  <si>
    <t>공급가액</t>
  </si>
  <si>
    <t>VAT(10%)</t>
  </si>
  <si>
    <t>합계금액</t>
  </si>
  <si>
    <t>증빙유형</t>
  </si>
  <si>
    <t>결제수단</t>
  </si>
  <si>
    <t>메모</t>
  </si>
  <si>
    <t>월(자동)</t>
  </si>
  <si>
    <t>분기(자동)</t>
  </si>
  <si>
    <t>2026-01-05</t>
  </si>
  <si>
    <t>매출</t>
  </si>
  <si>
    <t>예시고객</t>
  </si>
  <si>
    <t>파주</t>
  </si>
  <si>
    <t>010-0000-0000</t>
  </si>
  <si>
    <t>CCTV 4채널 설치</t>
  </si>
  <si>
    <t>세금계산서</t>
  </si>
  <si>
    <t>계좌이체</t>
  </si>
  <si>
    <t>예시 행 - 실제 데이터 입력 후 삭제하세요</t>
  </si>
  <si>
    <t>2026-01-08</t>
  </si>
  <si>
    <t>재료비</t>
  </si>
  <si>
    <t>ㅇㅇ전자상가</t>
  </si>
  <si>
    <t>AHD카메라 8대 + NVR</t>
  </si>
  <si>
    <t>사업카드</t>
  </si>
  <si>
    <t>2026-01-10</t>
  </si>
  <si>
    <t>인건비</t>
  </si>
  <si>
    <t>김보조</t>
  </si>
  <si>
    <t>설치 보조 일당 (1일)</t>
  </si>
  <si>
    <t>간이영수증</t>
  </si>
  <si>
    <t>2026-01-12</t>
  </si>
  <si>
    <t>교통비</t>
  </si>
  <si>
    <t>출장 주유비</t>
  </si>
  <si>
    <t>현금영수증</t>
  </si>
  <si>
    <t>카드</t>
  </si>
  <si>
    <t>2026-01-15</t>
  </si>
  <si>
    <t>통신비</t>
  </si>
  <si>
    <t>KT</t>
  </si>
  <si>
    <t>인터넷/전화 요금</t>
  </si>
  <si>
    <t>자동이체</t>
  </si>
  <si>
    <t>2026-01-20</t>
  </si>
  <si>
    <t>광고비</t>
  </si>
  <si>
    <t>네이버</t>
  </si>
  <si>
    <t>블로그 상위노출 광고</t>
  </si>
  <si>
    <t>월별 매출·매입 요약 및 세금 예측 (거래장부에서 자동집계)</t>
  </si>
  <si>
    <t>이 시트는 직접 수정하지 마세요. 거래장부에 데이터를 입력하면 자동으로 반영됩니다.</t>
  </si>
  <si>
    <t>월</t>
  </si>
  <si>
    <t>매출 합계</t>
  </si>
  <si>
    <t>교통·통신·광고</t>
  </si>
  <si>
    <t>총 비용</t>
  </si>
  <si>
    <t>순이익</t>
  </si>
  <si>
    <t>이익률</t>
  </si>
  <si>
    <t>세금적립 권장
(매출×15%)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</si>
  <si>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</si>
  <si>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</si>
  <si>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</si>
  <si>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</si>
  <si>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</si>
  <si>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</si>
  <si>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</si>
  <si>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</si>
  <si>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</si>
  <si>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</si>
  <si>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</si>
  <si>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</si>
  <si>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</si>
  <si>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예상 세금 자동 계산기</t>
  </si>
  <si>
    <t>A. 연간 실적 (월별요약 자동연동)</t>
  </si>
  <si>
    <t>항목</t>
  </si>
  <si>
    <t>금액</t>
  </si>
  <si>
    <t>비고</t>
  </si>
  <si>
    <t>매출 합계 (VAT 포함)</t>
  </si>
  <si>
    <t>거래장부 → 월별요약 자동합산</t>
  </si>
  <si>
    <t>매출 합계 (VAT 제외)</t>
  </si>
  <si>
    <t>세금계산서 매입 VAT 합계 (매입세액공제 가능분)</t>
  </si>
  <si>
    <t>매입 공제 가능 VAT</t>
  </si>
  <si>
    <t>B. 부가세 예상 (분기별 별도 신고 필요, 아래는 연간 추정치)</t>
  </si>
  <si>
    <t>매출세액 (매출 합계 ÷ 11)</t>
  </si>
  <si>
    <t>매입세액공제</t>
  </si>
  <si>
    <t>예상 납부 부가세</t>
  </si>
  <si>
    <t>C. 종합소득세 참고용 (단순 추정 — 실제 세율/공제는 세무사 확인 필요)</t>
  </si>
  <si>
    <t>추정 순이익 (매출 VAT제외 - 총비용)</t>
  </si>
  <si>
    <t>세금적립 권장액 (순이익 15%)</t>
  </si>
  <si>
    <t>사용법 &amp; 핵심 팁</t>
  </si>
  <si>
    <t>[ 1단계 ] 거래장부 시트에 거래 입력</t>
  </si>
  <si>
    <t>2026-01-05 형식으로 입력하면 월·분기 자동계산</t>
  </si>
  <si>
    <t>매출 / 재료비 / 인건비 / 교통비 / 통신비 / 광고비 / 기타비용 중 하나 정확히 입력</t>
  </si>
  <si>
    <t>지역, 고객 전화번호</t>
  </si>
  <si>
    <t>CRM 대시보드에서 지역별 분석에 사용되니 가능하면 채워주세요</t>
  </si>
  <si>
    <t>부가세 제외 금액 (세금계산서 기준)</t>
  </si>
  <si>
    <t>VAT</t>
  </si>
  <si>
    <t>세금계산서 거래만 입력 (공급가액×10%). 카드·현금은 공란 가능</t>
  </si>
  <si>
    <t>실제 지급/수령한 금액 전체 (자동 = 공급가액+VAT)</t>
  </si>
  <si>
    <t>[ 2단계 ] 월별요약 / 세금계산기</t>
  </si>
  <si>
    <t>거래장부만 채우면 자동 계산됨, 이 두 시트는 직접 수정하지 마세요</t>
  </si>
  <si>
    <t>[ 3단계 ] CRM 연동</t>
  </si>
  <si>
    <t>이 Sheet를 Google Sheets에 업로드 후, 서비스 계정 이메일에 '편집자' 권한 공유 → CRM 장부 대시보드가 이 데이터를 읽어 시각화합니다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</si>
</sst>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41" fontId="0" fillId="0" borderId="0" xfId="1" applyFont="1" applyAlignme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"/>
  <sheetViews>
    <sheetView workbookViewId="0">
      <pane ySplit="3" topLeftCell="A4" activePane="bottomLeft" state="frozen"/>
      <selection pane="bottomLeft" activeCell="F13" sqref="F13"/>
    </sheetView>
  </sheetViews>
  <sheetFormatPr defaultRowHeight="17.399999999999999" x14ac:dyDescent="0.4"/>
  <cols>
    <col min="1" max="11" width="16" customWidth="1"/>
    <col min="12" max="12" width="30" customWidth="1"/>
    <col min="13" max="14" width="16" customWidth="1"/>
  </cols>
  <sheetData>
    <row r="1" spans="1:14" ht="20.399999999999999" x14ac:dyDescent="0.45">
      <c r="A1" s="1" t="s">
        <v>0</v>
      </c>
    </row>
    <row r="2" spans="1:14" x14ac:dyDescent="0.4">
      <c r="A2" t="s">
        <v>1</v>
      </c>
    </row>
    <row r="3" spans="1:14" x14ac:dyDescent="0.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s="5">
        <v>727273</v>
      </c>
      <c r="H4" s="5">
        <v>72727</v>
      </c>
      <c r="I4" s="5">
        <f t="shared" ref="I4:I9" si="0">G4+H4</f>
        <v>800000</v>
      </c>
      <c r="J4" t="s">
        <v>22</v>
      </c>
      <c r="K4" t="s">
        <v>23</v>
      </c>
      <c r="L4" t="s">
        <v>24</v>
      </c>
      <c r="M4">
        <f t="shared" ref="M4:M67" si="1">IF(A4="","",MONTH(A4))</f>
        <v>1</v>
      </c>
      <c r="N4" t="str">
        <f t="shared" ref="N4:N67" si="2">IF(A4="","","Q"&amp;ROUNDUP(MONTH(A4)/3,0))</f>
        <v>Q1</v>
      </c>
    </row>
    <row r="5" spans="1:14" x14ac:dyDescent="0.4">
      <c r="A5" t="s">
        <v>25</v>
      </c>
      <c r="B5" t="s">
        <v>26</v>
      </c>
      <c r="C5" t="s">
        <v>27</v>
      </c>
      <c r="F5" t="s">
        <v>28</v>
      </c>
      <c r="G5" s="5">
        <v>330000</v>
      </c>
      <c r="H5" s="5">
        <v>33000</v>
      </c>
      <c r="I5" s="5">
        <f t="shared" si="0"/>
        <v>363000</v>
      </c>
      <c r="J5" t="s">
        <v>22</v>
      </c>
      <c r="K5" t="s">
        <v>29</v>
      </c>
      <c r="L5" t="s">
        <v>24</v>
      </c>
      <c r="M5">
        <f t="shared" si="1"/>
        <v>1</v>
      </c>
      <c r="N5" t="str">
        <f t="shared" si="2"/>
        <v>Q1</v>
      </c>
    </row>
    <row r="6" spans="1:14" x14ac:dyDescent="0.4">
      <c r="A6" t="s">
        <v>30</v>
      </c>
      <c r="B6" t="s">
        <v>31</v>
      </c>
      <c r="C6" t="s">
        <v>32</v>
      </c>
      <c r="F6" t="s">
        <v>33</v>
      </c>
      <c r="G6" s="5">
        <v>100000</v>
      </c>
      <c r="H6" s="5">
        <v>0</v>
      </c>
      <c r="I6" s="5">
        <f t="shared" si="0"/>
        <v>100000</v>
      </c>
      <c r="J6" t="s">
        <v>34</v>
      </c>
      <c r="K6" t="s">
        <v>23</v>
      </c>
      <c r="L6" t="s">
        <v>24</v>
      </c>
      <c r="M6">
        <f t="shared" si="1"/>
        <v>1</v>
      </c>
      <c r="N6" t="str">
        <f t="shared" si="2"/>
        <v>Q1</v>
      </c>
    </row>
    <row r="7" spans="1:14" x14ac:dyDescent="0.4">
      <c r="A7" t="s">
        <v>35</v>
      </c>
      <c r="B7" t="s">
        <v>36</v>
      </c>
      <c r="F7" t="s">
        <v>37</v>
      </c>
      <c r="G7" s="5">
        <v>50000</v>
      </c>
      <c r="H7" s="5">
        <v>0</v>
      </c>
      <c r="I7" s="5">
        <f t="shared" si="0"/>
        <v>50000</v>
      </c>
      <c r="J7" t="s">
        <v>38</v>
      </c>
      <c r="K7" t="s">
        <v>39</v>
      </c>
      <c r="L7" t="s">
        <v>24</v>
      </c>
      <c r="M7">
        <f t="shared" si="1"/>
        <v>1</v>
      </c>
      <c r="N7" t="str">
        <f t="shared" si="2"/>
        <v>Q1</v>
      </c>
    </row>
    <row r="8" spans="1:14" x14ac:dyDescent="0.4">
      <c r="A8" t="s">
        <v>40</v>
      </c>
      <c r="B8" t="s">
        <v>41</v>
      </c>
      <c r="C8" t="s">
        <v>42</v>
      </c>
      <c r="F8" t="s">
        <v>43</v>
      </c>
      <c r="G8" s="5">
        <v>45455</v>
      </c>
      <c r="H8" s="5">
        <v>4545</v>
      </c>
      <c r="I8" s="5">
        <f t="shared" si="0"/>
        <v>50000</v>
      </c>
      <c r="J8" t="s">
        <v>22</v>
      </c>
      <c r="K8" t="s">
        <v>44</v>
      </c>
      <c r="L8" t="s">
        <v>24</v>
      </c>
      <c r="M8">
        <f t="shared" si="1"/>
        <v>1</v>
      </c>
      <c r="N8" t="str">
        <f t="shared" si="2"/>
        <v>Q1</v>
      </c>
    </row>
    <row r="9" spans="1:14" x14ac:dyDescent="0.4">
      <c r="A9" t="s">
        <v>45</v>
      </c>
      <c r="B9" t="s">
        <v>46</v>
      </c>
      <c r="C9" t="s">
        <v>47</v>
      </c>
      <c r="F9" t="s">
        <v>48</v>
      </c>
      <c r="G9" s="5">
        <v>90909</v>
      </c>
      <c r="H9" s="5">
        <v>9091</v>
      </c>
      <c r="I9" s="5">
        <f t="shared" si="0"/>
        <v>100000</v>
      </c>
      <c r="J9" t="s">
        <v>22</v>
      </c>
      <c r="K9" t="s">
        <v>39</v>
      </c>
      <c r="L9" t="s">
        <v>24</v>
      </c>
      <c r="M9">
        <f t="shared" si="1"/>
        <v>1</v>
      </c>
      <c r="N9" t="str">
        <f t="shared" si="2"/>
        <v>Q1</v>
      </c>
    </row>
    <row r="10" spans="1:14" x14ac:dyDescent="0.4">
      <c r="G10" s="5"/>
      <c r="H10" s="5"/>
      <c r="I10" s="5"/>
      <c r="M10" t="str">
        <f t="shared" si="1"/>
        <v/>
      </c>
      <c r="N10" t="str">
        <f t="shared" si="2"/>
        <v/>
      </c>
    </row>
    <row r="11" spans="1:14" x14ac:dyDescent="0.4">
      <c r="G11" s="5"/>
      <c r="H11" s="5"/>
      <c r="I11" s="5"/>
      <c r="M11" t="str">
        <f t="shared" si="1"/>
        <v/>
      </c>
      <c r="N11" t="str">
        <f t="shared" si="2"/>
        <v/>
      </c>
    </row>
    <row r="12" spans="1:14" x14ac:dyDescent="0.4">
      <c r="G12" s="5"/>
      <c r="H12" s="5"/>
      <c r="I12" s="5"/>
      <c r="M12" t="str">
        <f t="shared" si="1"/>
        <v/>
      </c>
      <c r="N12" t="str">
        <f t="shared" si="2"/>
        <v/>
      </c>
    </row>
    <row r="13" spans="1:14" x14ac:dyDescent="0.4">
      <c r="G13" s="5"/>
      <c r="H13" s="5"/>
      <c r="I13" s="5"/>
      <c r="M13" t="str">
        <f t="shared" si="1"/>
        <v/>
      </c>
      <c r="N13" t="str">
        <f t="shared" si="2"/>
        <v/>
      </c>
    </row>
    <row r="14" spans="1:14" x14ac:dyDescent="0.4">
      <c r="G14" s="5"/>
      <c r="H14" s="5"/>
      <c r="I14" s="5"/>
      <c r="M14" t="str">
        <f t="shared" si="1"/>
        <v/>
      </c>
      <c r="N14" t="str">
        <f t="shared" si="2"/>
        <v/>
      </c>
    </row>
    <row r="15" spans="1:14" x14ac:dyDescent="0.4">
      <c r="G15" s="5"/>
      <c r="H15" s="5"/>
      <c r="I15" s="5"/>
      <c r="M15" t="str">
        <f t="shared" si="1"/>
        <v/>
      </c>
      <c r="N15" t="str">
        <f t="shared" si="2"/>
        <v/>
      </c>
    </row>
    <row r="16" spans="1:14" x14ac:dyDescent="0.4">
      <c r="G16" s="5"/>
      <c r="H16" s="5"/>
      <c r="I16" s="5"/>
      <c r="M16" t="str">
        <f t="shared" si="1"/>
        <v/>
      </c>
      <c r="N16" t="str">
        <f t="shared" si="2"/>
        <v/>
      </c>
    </row>
    <row r="17" spans="7:14" x14ac:dyDescent="0.4">
      <c r="G17" s="5"/>
      <c r="H17" s="5"/>
      <c r="I17" s="5"/>
      <c r="M17" t="str">
        <f t="shared" si="1"/>
        <v/>
      </c>
      <c r="N17" t="str">
        <f t="shared" si="2"/>
        <v/>
      </c>
    </row>
    <row r="18" spans="7:14" x14ac:dyDescent="0.4">
      <c r="G18" s="5"/>
      <c r="H18" s="5"/>
      <c r="I18" s="5"/>
      <c r="M18" t="str">
        <f t="shared" si="1"/>
        <v/>
      </c>
      <c r="N18" t="str">
        <f t="shared" si="2"/>
        <v/>
      </c>
    </row>
    <row r="19" spans="7:14" x14ac:dyDescent="0.4">
      <c r="G19" s="5"/>
      <c r="H19" s="5"/>
      <c r="I19" s="5"/>
      <c r="M19" t="str">
        <f t="shared" si="1"/>
        <v/>
      </c>
      <c r="N19" t="str">
        <f t="shared" si="2"/>
        <v/>
      </c>
    </row>
    <row r="20" spans="7:14" x14ac:dyDescent="0.4">
      <c r="G20" s="5"/>
      <c r="H20" s="5"/>
      <c r="I20" s="5"/>
      <c r="M20" t="str">
        <f t="shared" si="1"/>
        <v/>
      </c>
      <c r="N20" t="str">
        <f t="shared" si="2"/>
        <v/>
      </c>
    </row>
    <row r="21" spans="7:14" x14ac:dyDescent="0.4">
      <c r="G21" s="5"/>
      <c r="H21" s="5"/>
      <c r="I21" s="5"/>
      <c r="M21" t="str">
        <f t="shared" si="1"/>
        <v/>
      </c>
      <c r="N21" t="str">
        <f t="shared" si="2"/>
        <v/>
      </c>
    </row>
    <row r="22" spans="7:14" x14ac:dyDescent="0.4">
      <c r="G22" s="5"/>
      <c r="H22" s="5"/>
      <c r="I22" s="5"/>
      <c r="M22" t="str">
        <f t="shared" si="1"/>
        <v/>
      </c>
      <c r="N22" t="str">
        <f t="shared" si="2"/>
        <v/>
      </c>
    </row>
    <row r="23" spans="7:14" x14ac:dyDescent="0.4">
      <c r="G23" s="5"/>
      <c r="H23" s="5"/>
      <c r="I23" s="5"/>
      <c r="M23" t="str">
        <f t="shared" si="1"/>
        <v/>
      </c>
      <c r="N23" t="str">
        <f t="shared" si="2"/>
        <v/>
      </c>
    </row>
    <row r="24" spans="7:14" x14ac:dyDescent="0.4">
      <c r="G24" s="5"/>
      <c r="H24" s="5"/>
      <c r="I24" s="5"/>
      <c r="M24" t="str">
        <f t="shared" si="1"/>
        <v/>
      </c>
      <c r="N24" t="str">
        <f t="shared" si="2"/>
        <v/>
      </c>
    </row>
    <row r="25" spans="7:14" x14ac:dyDescent="0.4">
      <c r="G25" s="5"/>
      <c r="H25" s="5"/>
      <c r="I25" s="5"/>
      <c r="M25" t="str">
        <f t="shared" si="1"/>
        <v/>
      </c>
      <c r="N25" t="str">
        <f t="shared" si="2"/>
        <v/>
      </c>
    </row>
    <row r="26" spans="7:14" x14ac:dyDescent="0.4">
      <c r="G26" s="5"/>
      <c r="H26" s="5"/>
      <c r="I26" s="5"/>
      <c r="M26" t="str">
        <f t="shared" si="1"/>
        <v/>
      </c>
      <c r="N26" t="str">
        <f t="shared" si="2"/>
        <v/>
      </c>
    </row>
    <row r="27" spans="7:14" x14ac:dyDescent="0.4">
      <c r="G27" s="5"/>
      <c r="H27" s="5"/>
      <c r="I27" s="5"/>
      <c r="M27" t="str">
        <f t="shared" si="1"/>
        <v/>
      </c>
      <c r="N27" t="str">
        <f t="shared" si="2"/>
        <v/>
      </c>
    </row>
    <row r="28" spans="7:14" x14ac:dyDescent="0.4">
      <c r="G28" s="5"/>
      <c r="H28" s="5"/>
      <c r="I28" s="5"/>
      <c r="M28" t="str">
        <f t="shared" si="1"/>
        <v/>
      </c>
      <c r="N28" t="str">
        <f t="shared" si="2"/>
        <v/>
      </c>
    </row>
    <row r="29" spans="7:14" x14ac:dyDescent="0.4">
      <c r="G29" s="5"/>
      <c r="H29" s="5"/>
      <c r="I29" s="5"/>
      <c r="M29" t="str">
        <f t="shared" si="1"/>
        <v/>
      </c>
      <c r="N29" t="str">
        <f t="shared" si="2"/>
        <v/>
      </c>
    </row>
    <row r="30" spans="7:14" x14ac:dyDescent="0.4">
      <c r="G30" s="5"/>
      <c r="H30" s="5"/>
      <c r="I30" s="5"/>
      <c r="M30" t="str">
        <f t="shared" si="1"/>
        <v/>
      </c>
      <c r="N30" t="str">
        <f t="shared" si="2"/>
        <v/>
      </c>
    </row>
    <row r="31" spans="7:14" x14ac:dyDescent="0.4">
      <c r="G31" s="5"/>
      <c r="H31" s="5"/>
      <c r="I31" s="5"/>
      <c r="M31" t="str">
        <f t="shared" si="1"/>
        <v/>
      </c>
      <c r="N31" t="str">
        <f t="shared" si="2"/>
        <v/>
      </c>
    </row>
    <row r="32" spans="7:14" x14ac:dyDescent="0.4">
      <c r="G32" s="5"/>
      <c r="H32" s="5"/>
      <c r="I32" s="5"/>
      <c r="M32" t="str">
        <f t="shared" si="1"/>
        <v/>
      </c>
      <c r="N32" t="str">
        <f t="shared" si="2"/>
        <v/>
      </c>
    </row>
    <row r="33" spans="7:14" x14ac:dyDescent="0.4">
      <c r="G33" s="5"/>
      <c r="H33" s="5"/>
      <c r="I33" s="5"/>
      <c r="M33" t="str">
        <f t="shared" si="1"/>
        <v/>
      </c>
      <c r="N33" t="str">
        <f t="shared" si="2"/>
        <v/>
      </c>
    </row>
    <row r="34" spans="7:14" x14ac:dyDescent="0.4">
      <c r="G34" s="5"/>
      <c r="H34" s="5"/>
      <c r="I34" s="5"/>
      <c r="M34" t="str">
        <f t="shared" si="1"/>
        <v/>
      </c>
      <c r="N34" t="str">
        <f t="shared" si="2"/>
        <v/>
      </c>
    </row>
    <row r="35" spans="7:14" x14ac:dyDescent="0.4">
      <c r="G35" s="5"/>
      <c r="H35" s="5"/>
      <c r="I35" s="5"/>
      <c r="M35" t="str">
        <f t="shared" si="1"/>
        <v/>
      </c>
      <c r="N35" t="str">
        <f t="shared" si="2"/>
        <v/>
      </c>
    </row>
    <row r="36" spans="7:14" x14ac:dyDescent="0.4">
      <c r="G36" s="5"/>
      <c r="H36" s="5"/>
      <c r="I36" s="5"/>
      <c r="M36" t="str">
        <f t="shared" si="1"/>
        <v/>
      </c>
      <c r="N36" t="str">
        <f t="shared" si="2"/>
        <v/>
      </c>
    </row>
    <row r="37" spans="7:14" x14ac:dyDescent="0.4">
      <c r="G37" s="5"/>
      <c r="H37" s="5"/>
      <c r="I37" s="5"/>
      <c r="M37" t="str">
        <f t="shared" si="1"/>
        <v/>
      </c>
      <c r="N37" t="str">
        <f t="shared" si="2"/>
        <v/>
      </c>
    </row>
    <row r="38" spans="7:14" x14ac:dyDescent="0.4">
      <c r="G38" s="5"/>
      <c r="H38" s="5"/>
      <c r="I38" s="5"/>
      <c r="M38" t="str">
        <f t="shared" si="1"/>
        <v/>
      </c>
      <c r="N38" t="str">
        <f t="shared" si="2"/>
        <v/>
      </c>
    </row>
    <row r="39" spans="7:14" x14ac:dyDescent="0.4">
      <c r="G39" s="5"/>
      <c r="H39" s="5"/>
      <c r="I39" s="5"/>
      <c r="M39" t="str">
        <f t="shared" si="1"/>
        <v/>
      </c>
      <c r="N39" t="str">
        <f t="shared" si="2"/>
        <v/>
      </c>
    </row>
    <row r="40" spans="7:14" x14ac:dyDescent="0.4">
      <c r="G40" s="5"/>
      <c r="H40" s="5"/>
      <c r="I40" s="5"/>
      <c r="M40" t="str">
        <f t="shared" si="1"/>
        <v/>
      </c>
      <c r="N40" t="str">
        <f t="shared" si="2"/>
        <v/>
      </c>
    </row>
    <row r="41" spans="7:14" x14ac:dyDescent="0.4">
      <c r="G41" s="5"/>
      <c r="H41" s="5"/>
      <c r="I41" s="5"/>
      <c r="M41" t="str">
        <f t="shared" si="1"/>
        <v/>
      </c>
      <c r="N41" t="str">
        <f t="shared" si="2"/>
        <v/>
      </c>
    </row>
    <row r="42" spans="7:14" x14ac:dyDescent="0.4">
      <c r="G42" s="5"/>
      <c r="H42" s="5"/>
      <c r="I42" s="5"/>
      <c r="M42" t="str">
        <f t="shared" si="1"/>
        <v/>
      </c>
      <c r="N42" t="str">
        <f t="shared" si="2"/>
        <v/>
      </c>
    </row>
    <row r="43" spans="7:14" x14ac:dyDescent="0.4">
      <c r="G43" s="5"/>
      <c r="H43" s="5"/>
      <c r="I43" s="5"/>
      <c r="M43" t="str">
        <f t="shared" si="1"/>
        <v/>
      </c>
      <c r="N43" t="str">
        <f t="shared" si="2"/>
        <v/>
      </c>
    </row>
    <row r="44" spans="7:14" x14ac:dyDescent="0.4">
      <c r="G44" s="5"/>
      <c r="H44" s="5"/>
      <c r="I44" s="5"/>
      <c r="M44" t="str">
        <f t="shared" si="1"/>
        <v/>
      </c>
      <c r="N44" t="str">
        <f t="shared" si="2"/>
        <v/>
      </c>
    </row>
    <row r="45" spans="7:14" x14ac:dyDescent="0.4">
      <c r="G45" s="5"/>
      <c r="H45" s="5"/>
      <c r="I45" s="5"/>
      <c r="M45" t="str">
        <f t="shared" si="1"/>
        <v/>
      </c>
      <c r="N45" t="str">
        <f t="shared" si="2"/>
        <v/>
      </c>
    </row>
    <row r="46" spans="7:14" x14ac:dyDescent="0.4">
      <c r="G46" s="5"/>
      <c r="H46" s="5"/>
      <c r="I46" s="5"/>
      <c r="M46" t="str">
        <f t="shared" si="1"/>
        <v/>
      </c>
      <c r="N46" t="str">
        <f t="shared" si="2"/>
        <v/>
      </c>
    </row>
    <row r="47" spans="7:14" x14ac:dyDescent="0.4">
      <c r="G47" s="5"/>
      <c r="H47" s="5"/>
      <c r="I47" s="5"/>
      <c r="M47" t="str">
        <f t="shared" si="1"/>
        <v/>
      </c>
      <c r="N47" t="str">
        <f t="shared" si="2"/>
        <v/>
      </c>
    </row>
    <row r="48" spans="7:14" x14ac:dyDescent="0.4">
      <c r="G48" s="5"/>
      <c r="H48" s="5"/>
      <c r="I48" s="5"/>
      <c r="M48" t="str">
        <f t="shared" si="1"/>
        <v/>
      </c>
      <c r="N48" t="str">
        <f t="shared" si="2"/>
        <v/>
      </c>
    </row>
    <row r="49" spans="7:14" x14ac:dyDescent="0.4">
      <c r="G49" s="5"/>
      <c r="H49" s="5"/>
      <c r="I49" s="5"/>
      <c r="M49" t="str">
        <f t="shared" si="1"/>
        <v/>
      </c>
      <c r="N49" t="str">
        <f t="shared" si="2"/>
        <v/>
      </c>
    </row>
    <row r="50" spans="7:14" x14ac:dyDescent="0.4">
      <c r="G50" s="5"/>
      <c r="H50" s="5"/>
      <c r="I50" s="5"/>
      <c r="M50" t="str">
        <f t="shared" si="1"/>
        <v/>
      </c>
      <c r="N50" t="str">
        <f t="shared" si="2"/>
        <v/>
      </c>
    </row>
    <row r="51" spans="7:14" x14ac:dyDescent="0.4">
      <c r="G51" s="5"/>
      <c r="H51" s="5"/>
      <c r="I51" s="5"/>
      <c r="M51" t="str">
        <f t="shared" si="1"/>
        <v/>
      </c>
      <c r="N51" t="str">
        <f t="shared" si="2"/>
        <v/>
      </c>
    </row>
    <row r="52" spans="7:14" x14ac:dyDescent="0.4">
      <c r="G52" s="5"/>
      <c r="H52" s="5"/>
      <c r="I52" s="5"/>
      <c r="M52" t="str">
        <f t="shared" si="1"/>
        <v/>
      </c>
      <c r="N52" t="str">
        <f t="shared" si="2"/>
        <v/>
      </c>
    </row>
    <row r="53" spans="7:14" x14ac:dyDescent="0.4">
      <c r="G53" s="5"/>
      <c r="H53" s="5"/>
      <c r="I53" s="5"/>
      <c r="M53" t="str">
        <f t="shared" si="1"/>
        <v/>
      </c>
      <c r="N53" t="str">
        <f t="shared" si="2"/>
        <v/>
      </c>
    </row>
    <row r="54" spans="7:14" x14ac:dyDescent="0.4">
      <c r="G54" s="5"/>
      <c r="H54" s="5"/>
      <c r="I54" s="5"/>
      <c r="M54" t="str">
        <f t="shared" si="1"/>
        <v/>
      </c>
      <c r="N54" t="str">
        <f t="shared" si="2"/>
        <v/>
      </c>
    </row>
    <row r="55" spans="7:14" x14ac:dyDescent="0.4">
      <c r="G55" s="5"/>
      <c r="H55" s="5"/>
      <c r="I55" s="5"/>
      <c r="M55" t="str">
        <f t="shared" si="1"/>
        <v/>
      </c>
      <c r="N55" t="str">
        <f t="shared" si="2"/>
        <v/>
      </c>
    </row>
    <row r="56" spans="7:14" x14ac:dyDescent="0.4">
      <c r="G56" s="5"/>
      <c r="H56" s="5"/>
      <c r="I56" s="5"/>
      <c r="M56" t="str">
        <f t="shared" si="1"/>
        <v/>
      </c>
      <c r="N56" t="str">
        <f t="shared" si="2"/>
        <v/>
      </c>
    </row>
    <row r="57" spans="7:14" x14ac:dyDescent="0.4">
      <c r="G57" s="5"/>
      <c r="H57" s="5"/>
      <c r="I57" s="5"/>
      <c r="M57" t="str">
        <f t="shared" si="1"/>
        <v/>
      </c>
      <c r="N57" t="str">
        <f t="shared" si="2"/>
        <v/>
      </c>
    </row>
    <row r="58" spans="7:14" x14ac:dyDescent="0.4">
      <c r="G58" s="5"/>
      <c r="H58" s="5"/>
      <c r="I58" s="5"/>
      <c r="M58" t="str">
        <f t="shared" si="1"/>
        <v/>
      </c>
      <c r="N58" t="str">
        <f t="shared" si="2"/>
        <v/>
      </c>
    </row>
    <row r="59" spans="7:14" x14ac:dyDescent="0.4">
      <c r="G59" s="5"/>
      <c r="H59" s="5"/>
      <c r="I59" s="5"/>
      <c r="M59" t="str">
        <f t="shared" si="1"/>
        <v/>
      </c>
      <c r="N59" t="str">
        <f t="shared" si="2"/>
        <v/>
      </c>
    </row>
    <row r="60" spans="7:14" x14ac:dyDescent="0.4">
      <c r="G60" s="5"/>
      <c r="H60" s="5"/>
      <c r="I60" s="5"/>
      <c r="M60" t="str">
        <f t="shared" si="1"/>
        <v/>
      </c>
      <c r="N60" t="str">
        <f t="shared" si="2"/>
        <v/>
      </c>
    </row>
    <row r="61" spans="7:14" x14ac:dyDescent="0.4">
      <c r="G61" s="5"/>
      <c r="H61" s="5"/>
      <c r="I61" s="5"/>
      <c r="M61" t="str">
        <f t="shared" si="1"/>
        <v/>
      </c>
      <c r="N61" t="str">
        <f t="shared" si="2"/>
        <v/>
      </c>
    </row>
    <row r="62" spans="7:14" x14ac:dyDescent="0.4">
      <c r="G62" s="5"/>
      <c r="H62" s="5"/>
      <c r="I62" s="5"/>
      <c r="M62" t="str">
        <f t="shared" si="1"/>
        <v/>
      </c>
      <c r="N62" t="str">
        <f t="shared" si="2"/>
        <v/>
      </c>
    </row>
    <row r="63" spans="7:14" x14ac:dyDescent="0.4">
      <c r="G63" s="5"/>
      <c r="H63" s="5"/>
      <c r="I63" s="5"/>
      <c r="M63" t="str">
        <f t="shared" si="1"/>
        <v/>
      </c>
      <c r="N63" t="str">
        <f t="shared" si="2"/>
        <v/>
      </c>
    </row>
    <row r="64" spans="7:14" x14ac:dyDescent="0.4">
      <c r="G64" s="5"/>
      <c r="H64" s="5"/>
      <c r="I64" s="5"/>
      <c r="M64" t="str">
        <f t="shared" si="1"/>
        <v/>
      </c>
      <c r="N64" t="str">
        <f t="shared" si="2"/>
        <v/>
      </c>
    </row>
    <row r="65" spans="7:14" x14ac:dyDescent="0.4">
      <c r="G65" s="5"/>
      <c r="H65" s="5"/>
      <c r="I65" s="5"/>
      <c r="M65" t="str">
        <f t="shared" si="1"/>
        <v/>
      </c>
      <c r="N65" t="str">
        <f t="shared" si="2"/>
        <v/>
      </c>
    </row>
    <row r="66" spans="7:14" x14ac:dyDescent="0.4">
      <c r="G66" s="5"/>
      <c r="H66" s="5"/>
      <c r="I66" s="5"/>
      <c r="M66" t="str">
        <f t="shared" si="1"/>
        <v/>
      </c>
      <c r="N66" t="str">
        <f t="shared" si="2"/>
        <v/>
      </c>
    </row>
    <row r="67" spans="7:14" x14ac:dyDescent="0.4">
      <c r="G67" s="5"/>
      <c r="H67" s="5"/>
      <c r="I67" s="5"/>
      <c r="M67" t="str">
        <f t="shared" si="1"/>
        <v/>
      </c>
      <c r="N67" t="str">
        <f t="shared" si="2"/>
        <v/>
      </c>
    </row>
    <row r="68" spans="7:14" x14ac:dyDescent="0.4">
      <c r="G68" s="5"/>
      <c r="H68" s="5"/>
      <c r="I68" s="5"/>
      <c r="M68" t="str">
        <f t="shared" ref="M68:M131" si="3">IF(A68="","",MONTH(A68))</f>
        <v/>
      </c>
      <c r="N68" t="str">
        <f t="shared" ref="N68:N131" si="4">IF(A68="","","Q"&amp;ROUNDUP(MONTH(A68)/3,0))</f>
        <v/>
      </c>
    </row>
    <row r="69" spans="7:14" x14ac:dyDescent="0.4">
      <c r="G69" s="5"/>
      <c r="H69" s="5"/>
      <c r="I69" s="5"/>
      <c r="M69" t="str">
        <f t="shared" si="3"/>
        <v/>
      </c>
      <c r="N69" t="str">
        <f t="shared" si="4"/>
        <v/>
      </c>
    </row>
    <row r="70" spans="7:14" x14ac:dyDescent="0.4">
      <c r="G70" s="5"/>
      <c r="H70" s="5"/>
      <c r="I70" s="5"/>
      <c r="M70" t="str">
        <f t="shared" si="3"/>
        <v/>
      </c>
      <c r="N70" t="str">
        <f t="shared" si="4"/>
        <v/>
      </c>
    </row>
    <row r="71" spans="7:14" x14ac:dyDescent="0.4">
      <c r="G71" s="5"/>
      <c r="H71" s="5"/>
      <c r="I71" s="5"/>
      <c r="M71" t="str">
        <f t="shared" si="3"/>
        <v/>
      </c>
      <c r="N71" t="str">
        <f t="shared" si="4"/>
        <v/>
      </c>
    </row>
    <row r="72" spans="7:14" x14ac:dyDescent="0.4">
      <c r="G72" s="5"/>
      <c r="H72" s="5"/>
      <c r="I72" s="5"/>
      <c r="M72" t="str">
        <f t="shared" si="3"/>
        <v/>
      </c>
      <c r="N72" t="str">
        <f t="shared" si="4"/>
        <v/>
      </c>
    </row>
    <row r="73" spans="7:14" x14ac:dyDescent="0.4">
      <c r="G73" s="5"/>
      <c r="H73" s="5"/>
      <c r="I73" s="5"/>
      <c r="M73" t="str">
        <f t="shared" si="3"/>
        <v/>
      </c>
      <c r="N73" t="str">
        <f t="shared" si="4"/>
        <v/>
      </c>
    </row>
    <row r="74" spans="7:14" x14ac:dyDescent="0.4">
      <c r="G74" s="5"/>
      <c r="H74" s="5"/>
      <c r="I74" s="5"/>
      <c r="M74" t="str">
        <f t="shared" si="3"/>
        <v/>
      </c>
      <c r="N74" t="str">
        <f t="shared" si="4"/>
        <v/>
      </c>
    </row>
    <row r="75" spans="7:14" x14ac:dyDescent="0.4">
      <c r="G75" s="5"/>
      <c r="H75" s="5"/>
      <c r="I75" s="5"/>
      <c r="M75" t="str">
        <f t="shared" si="3"/>
        <v/>
      </c>
      <c r="N75" t="str">
        <f t="shared" si="4"/>
        <v/>
      </c>
    </row>
    <row r="76" spans="7:14" x14ac:dyDescent="0.4">
      <c r="G76" s="5"/>
      <c r="H76" s="5"/>
      <c r="I76" s="5"/>
      <c r="M76" t="str">
        <f t="shared" si="3"/>
        <v/>
      </c>
      <c r="N76" t="str">
        <f t="shared" si="4"/>
        <v/>
      </c>
    </row>
    <row r="77" spans="7:14" x14ac:dyDescent="0.4">
      <c r="G77" s="5"/>
      <c r="H77" s="5"/>
      <c r="I77" s="5"/>
      <c r="M77" t="str">
        <f t="shared" si="3"/>
        <v/>
      </c>
      <c r="N77" t="str">
        <f t="shared" si="4"/>
        <v/>
      </c>
    </row>
    <row r="78" spans="7:14" x14ac:dyDescent="0.4">
      <c r="G78" s="5"/>
      <c r="H78" s="5"/>
      <c r="I78" s="5"/>
      <c r="M78" t="str">
        <f t="shared" si="3"/>
        <v/>
      </c>
      <c r="N78" t="str">
        <f t="shared" si="4"/>
        <v/>
      </c>
    </row>
    <row r="79" spans="7:14" x14ac:dyDescent="0.4">
      <c r="G79" s="5"/>
      <c r="H79" s="5"/>
      <c r="I79" s="5"/>
      <c r="M79" t="str">
        <f t="shared" si="3"/>
        <v/>
      </c>
      <c r="N79" t="str">
        <f t="shared" si="4"/>
        <v/>
      </c>
    </row>
    <row r="80" spans="7:14" x14ac:dyDescent="0.4">
      <c r="G80" s="5"/>
      <c r="H80" s="5"/>
      <c r="I80" s="5"/>
      <c r="M80" t="str">
        <f t="shared" si="3"/>
        <v/>
      </c>
      <c r="N80" t="str">
        <f t="shared" si="4"/>
        <v/>
      </c>
    </row>
    <row r="81" spans="7:14" x14ac:dyDescent="0.4">
      <c r="G81" s="5"/>
      <c r="H81" s="5"/>
      <c r="I81" s="5"/>
      <c r="M81" t="str">
        <f t="shared" si="3"/>
        <v/>
      </c>
      <c r="N81" t="str">
        <f t="shared" si="4"/>
        <v/>
      </c>
    </row>
    <row r="82" spans="7:14" x14ac:dyDescent="0.4">
      <c r="G82" s="5"/>
      <c r="H82" s="5"/>
      <c r="I82" s="5"/>
      <c r="M82" t="str">
        <f t="shared" si="3"/>
        <v/>
      </c>
      <c r="N82" t="str">
        <f t="shared" si="4"/>
        <v/>
      </c>
    </row>
    <row r="83" spans="7:14" x14ac:dyDescent="0.4">
      <c r="G83" s="5"/>
      <c r="H83" s="5"/>
      <c r="I83" s="5"/>
      <c r="M83" t="str">
        <f t="shared" si="3"/>
        <v/>
      </c>
      <c r="N83" t="str">
        <f t="shared" si="4"/>
        <v/>
      </c>
    </row>
    <row r="84" spans="7:14" x14ac:dyDescent="0.4">
      <c r="G84" s="5"/>
      <c r="H84" s="5"/>
      <c r="I84" s="5"/>
      <c r="M84" t="str">
        <f t="shared" si="3"/>
        <v/>
      </c>
      <c r="N84" t="str">
        <f t="shared" si="4"/>
        <v/>
      </c>
    </row>
    <row r="85" spans="7:14" x14ac:dyDescent="0.4">
      <c r="G85" s="5"/>
      <c r="H85" s="5"/>
      <c r="I85" s="5"/>
      <c r="M85" t="str">
        <f t="shared" si="3"/>
        <v/>
      </c>
      <c r="N85" t="str">
        <f t="shared" si="4"/>
        <v/>
      </c>
    </row>
    <row r="86" spans="7:14" x14ac:dyDescent="0.4">
      <c r="G86" s="5"/>
      <c r="H86" s="5"/>
      <c r="I86" s="5"/>
      <c r="M86" t="str">
        <f t="shared" si="3"/>
        <v/>
      </c>
      <c r="N86" t="str">
        <f t="shared" si="4"/>
        <v/>
      </c>
    </row>
    <row r="87" spans="7:14" x14ac:dyDescent="0.4">
      <c r="G87" s="5"/>
      <c r="H87" s="5"/>
      <c r="I87" s="5"/>
      <c r="M87" t="str">
        <f t="shared" si="3"/>
        <v/>
      </c>
      <c r="N87" t="str">
        <f t="shared" si="4"/>
        <v/>
      </c>
    </row>
    <row r="88" spans="7:14" x14ac:dyDescent="0.4">
      <c r="G88" s="5"/>
      <c r="H88" s="5"/>
      <c r="I88" s="5"/>
      <c r="M88" t="str">
        <f t="shared" si="3"/>
        <v/>
      </c>
      <c r="N88" t="str">
        <f t="shared" si="4"/>
        <v/>
      </c>
    </row>
    <row r="89" spans="7:14" x14ac:dyDescent="0.4">
      <c r="G89" s="5"/>
      <c r="H89" s="5"/>
      <c r="I89" s="5"/>
      <c r="M89" t="str">
        <f t="shared" si="3"/>
        <v/>
      </c>
      <c r="N89" t="str">
        <f t="shared" si="4"/>
        <v/>
      </c>
    </row>
    <row r="90" spans="7:14" x14ac:dyDescent="0.4">
      <c r="G90" s="5"/>
      <c r="H90" s="5"/>
      <c r="I90" s="5"/>
      <c r="M90" t="str">
        <f t="shared" si="3"/>
        <v/>
      </c>
      <c r="N90" t="str">
        <f t="shared" si="4"/>
        <v/>
      </c>
    </row>
    <row r="91" spans="7:14" x14ac:dyDescent="0.4">
      <c r="G91" s="5"/>
      <c r="H91" s="5"/>
      <c r="I91" s="5"/>
      <c r="M91" t="str">
        <f t="shared" si="3"/>
        <v/>
      </c>
      <c r="N91" t="str">
        <f t="shared" si="4"/>
        <v/>
      </c>
    </row>
    <row r="92" spans="7:14" x14ac:dyDescent="0.4">
      <c r="G92" s="5"/>
      <c r="H92" s="5"/>
      <c r="I92" s="5"/>
      <c r="M92" t="str">
        <f t="shared" si="3"/>
        <v/>
      </c>
      <c r="N92" t="str">
        <f t="shared" si="4"/>
        <v/>
      </c>
    </row>
    <row r="93" spans="7:14" x14ac:dyDescent="0.4">
      <c r="G93" s="5"/>
      <c r="H93" s="5"/>
      <c r="I93" s="5"/>
      <c r="M93" t="str">
        <f t="shared" si="3"/>
        <v/>
      </c>
      <c r="N93" t="str">
        <f t="shared" si="4"/>
        <v/>
      </c>
    </row>
    <row r="94" spans="7:14" x14ac:dyDescent="0.4">
      <c r="G94" s="5"/>
      <c r="H94" s="5"/>
      <c r="I94" s="5"/>
      <c r="M94" t="str">
        <f t="shared" si="3"/>
        <v/>
      </c>
      <c r="N94" t="str">
        <f t="shared" si="4"/>
        <v/>
      </c>
    </row>
    <row r="95" spans="7:14" x14ac:dyDescent="0.4">
      <c r="G95" s="5"/>
      <c r="H95" s="5"/>
      <c r="I95" s="5"/>
      <c r="M95" t="str">
        <f t="shared" si="3"/>
        <v/>
      </c>
      <c r="N95" t="str">
        <f t="shared" si="4"/>
        <v/>
      </c>
    </row>
    <row r="96" spans="7:14" x14ac:dyDescent="0.4">
      <c r="G96" s="5"/>
      <c r="H96" s="5"/>
      <c r="I96" s="5"/>
      <c r="M96" t="str">
        <f t="shared" si="3"/>
        <v/>
      </c>
      <c r="N96" t="str">
        <f t="shared" si="4"/>
        <v/>
      </c>
    </row>
    <row r="97" spans="7:14" x14ac:dyDescent="0.4">
      <c r="G97" s="5"/>
      <c r="H97" s="5"/>
      <c r="I97" s="5"/>
      <c r="M97" t="str">
        <f t="shared" si="3"/>
        <v/>
      </c>
      <c r="N97" t="str">
        <f t="shared" si="4"/>
        <v/>
      </c>
    </row>
    <row r="98" spans="7:14" x14ac:dyDescent="0.4">
      <c r="G98" s="5"/>
      <c r="H98" s="5"/>
      <c r="I98" s="5"/>
      <c r="M98" t="str">
        <f t="shared" si="3"/>
        <v/>
      </c>
      <c r="N98" t="str">
        <f t="shared" si="4"/>
        <v/>
      </c>
    </row>
    <row r="99" spans="7:14" x14ac:dyDescent="0.4">
      <c r="G99" s="5"/>
      <c r="H99" s="5"/>
      <c r="I99" s="5"/>
      <c r="M99" t="str">
        <f t="shared" si="3"/>
        <v/>
      </c>
      <c r="N99" t="str">
        <f t="shared" si="4"/>
        <v/>
      </c>
    </row>
    <row r="100" spans="7:14" x14ac:dyDescent="0.4">
      <c r="G100" s="5"/>
      <c r="H100" s="5"/>
      <c r="I100" s="5"/>
      <c r="M100" t="str">
        <f t="shared" si="3"/>
        <v/>
      </c>
      <c r="N100" t="str">
        <f t="shared" si="4"/>
        <v/>
      </c>
    </row>
    <row r="101" spans="7:14" x14ac:dyDescent="0.4">
      <c r="G101" s="5"/>
      <c r="H101" s="5"/>
      <c r="I101" s="5"/>
      <c r="M101" t="str">
        <f t="shared" si="3"/>
        <v/>
      </c>
      <c r="N101" t="str">
        <f t="shared" si="4"/>
        <v/>
      </c>
    </row>
    <row r="102" spans="7:14" x14ac:dyDescent="0.4">
      <c r="G102" s="5"/>
      <c r="H102" s="5"/>
      <c r="I102" s="5"/>
      <c r="M102" t="str">
        <f t="shared" si="3"/>
        <v/>
      </c>
      <c r="N102" t="str">
        <f t="shared" si="4"/>
        <v/>
      </c>
    </row>
    <row r="103" spans="7:14" x14ac:dyDescent="0.4">
      <c r="G103" s="5"/>
      <c r="H103" s="5"/>
      <c r="I103" s="5"/>
      <c r="M103" t="str">
        <f t="shared" si="3"/>
        <v/>
      </c>
      <c r="N103" t="str">
        <f t="shared" si="4"/>
        <v/>
      </c>
    </row>
    <row r="104" spans="7:14" x14ac:dyDescent="0.4">
      <c r="G104" s="5"/>
      <c r="H104" s="5"/>
      <c r="I104" s="5"/>
      <c r="M104" t="str">
        <f t="shared" si="3"/>
        <v/>
      </c>
      <c r="N104" t="str">
        <f t="shared" si="4"/>
        <v/>
      </c>
    </row>
    <row r="105" spans="7:14" x14ac:dyDescent="0.4">
      <c r="G105" s="5"/>
      <c r="H105" s="5"/>
      <c r="I105" s="5"/>
      <c r="M105" t="str">
        <f t="shared" si="3"/>
        <v/>
      </c>
      <c r="N105" t="str">
        <f t="shared" si="4"/>
        <v/>
      </c>
    </row>
    <row r="106" spans="7:14" x14ac:dyDescent="0.4">
      <c r="G106" s="5"/>
      <c r="H106" s="5"/>
      <c r="I106" s="5"/>
      <c r="M106" t="str">
        <f t="shared" si="3"/>
        <v/>
      </c>
      <c r="N106" t="str">
        <f t="shared" si="4"/>
        <v/>
      </c>
    </row>
    <row r="107" spans="7:14" x14ac:dyDescent="0.4">
      <c r="G107" s="5"/>
      <c r="H107" s="5"/>
      <c r="I107" s="5"/>
      <c r="M107" t="str">
        <f t="shared" si="3"/>
        <v/>
      </c>
      <c r="N107" t="str">
        <f t="shared" si="4"/>
        <v/>
      </c>
    </row>
    <row r="108" spans="7:14" x14ac:dyDescent="0.4">
      <c r="G108" s="5"/>
      <c r="H108" s="5"/>
      <c r="I108" s="5"/>
      <c r="M108" t="str">
        <f t="shared" si="3"/>
        <v/>
      </c>
      <c r="N108" t="str">
        <f t="shared" si="4"/>
        <v/>
      </c>
    </row>
    <row r="109" spans="7:14" x14ac:dyDescent="0.4">
      <c r="G109" s="5"/>
      <c r="H109" s="5"/>
      <c r="I109" s="5"/>
      <c r="M109" t="str">
        <f t="shared" si="3"/>
        <v/>
      </c>
      <c r="N109" t="str">
        <f t="shared" si="4"/>
        <v/>
      </c>
    </row>
    <row r="110" spans="7:14" x14ac:dyDescent="0.4">
      <c r="G110" s="5"/>
      <c r="H110" s="5"/>
      <c r="I110" s="5"/>
      <c r="M110" t="str">
        <f t="shared" si="3"/>
        <v/>
      </c>
      <c r="N110" t="str">
        <f t="shared" si="4"/>
        <v/>
      </c>
    </row>
    <row r="111" spans="7:14" x14ac:dyDescent="0.4">
      <c r="G111" s="5"/>
      <c r="H111" s="5"/>
      <c r="I111" s="5"/>
      <c r="M111" t="str">
        <f t="shared" si="3"/>
        <v/>
      </c>
      <c r="N111" t="str">
        <f t="shared" si="4"/>
        <v/>
      </c>
    </row>
    <row r="112" spans="7:14" x14ac:dyDescent="0.4">
      <c r="G112" s="5"/>
      <c r="H112" s="5"/>
      <c r="I112" s="5"/>
      <c r="M112" t="str">
        <f t="shared" si="3"/>
        <v/>
      </c>
      <c r="N112" t="str">
        <f t="shared" si="4"/>
        <v/>
      </c>
    </row>
    <row r="113" spans="7:14" x14ac:dyDescent="0.4">
      <c r="G113" s="5"/>
      <c r="H113" s="5"/>
      <c r="I113" s="5"/>
      <c r="M113" t="str">
        <f t="shared" si="3"/>
        <v/>
      </c>
      <c r="N113" t="str">
        <f t="shared" si="4"/>
        <v/>
      </c>
    </row>
    <row r="114" spans="7:14" x14ac:dyDescent="0.4">
      <c r="G114" s="5"/>
      <c r="H114" s="5"/>
      <c r="I114" s="5"/>
      <c r="M114" t="str">
        <f t="shared" si="3"/>
        <v/>
      </c>
      <c r="N114" t="str">
        <f t="shared" si="4"/>
        <v/>
      </c>
    </row>
    <row r="115" spans="7:14" x14ac:dyDescent="0.4">
      <c r="G115" s="5"/>
      <c r="H115" s="5"/>
      <c r="I115" s="5"/>
      <c r="M115" t="str">
        <f t="shared" si="3"/>
        <v/>
      </c>
      <c r="N115" t="str">
        <f t="shared" si="4"/>
        <v/>
      </c>
    </row>
    <row r="116" spans="7:14" x14ac:dyDescent="0.4">
      <c r="G116" s="5"/>
      <c r="H116" s="5"/>
      <c r="I116" s="5"/>
      <c r="M116" t="str">
        <f t="shared" si="3"/>
        <v/>
      </c>
      <c r="N116" t="str">
        <f t="shared" si="4"/>
        <v/>
      </c>
    </row>
    <row r="117" spans="7:14" x14ac:dyDescent="0.4">
      <c r="G117" s="5"/>
      <c r="H117" s="5"/>
      <c r="I117" s="5"/>
      <c r="M117" t="str">
        <f t="shared" si="3"/>
        <v/>
      </c>
      <c r="N117" t="str">
        <f t="shared" si="4"/>
        <v/>
      </c>
    </row>
    <row r="118" spans="7:14" x14ac:dyDescent="0.4">
      <c r="G118" s="5"/>
      <c r="H118" s="5"/>
      <c r="I118" s="5"/>
      <c r="M118" t="str">
        <f t="shared" si="3"/>
        <v/>
      </c>
      <c r="N118" t="str">
        <f t="shared" si="4"/>
        <v/>
      </c>
    </row>
    <row r="119" spans="7:14" x14ac:dyDescent="0.4">
      <c r="G119" s="5"/>
      <c r="H119" s="5"/>
      <c r="I119" s="5"/>
      <c r="M119" t="str">
        <f t="shared" si="3"/>
        <v/>
      </c>
      <c r="N119" t="str">
        <f t="shared" si="4"/>
        <v/>
      </c>
    </row>
    <row r="120" spans="7:14" x14ac:dyDescent="0.4">
      <c r="G120" s="5"/>
      <c r="H120" s="5"/>
      <c r="I120" s="5"/>
      <c r="M120" t="str">
        <f t="shared" si="3"/>
        <v/>
      </c>
      <c r="N120" t="str">
        <f t="shared" si="4"/>
        <v/>
      </c>
    </row>
    <row r="121" spans="7:14" x14ac:dyDescent="0.4">
      <c r="G121" s="5"/>
      <c r="H121" s="5"/>
      <c r="I121" s="5"/>
      <c r="M121" t="str">
        <f t="shared" si="3"/>
        <v/>
      </c>
      <c r="N121" t="str">
        <f t="shared" si="4"/>
        <v/>
      </c>
    </row>
    <row r="122" spans="7:14" x14ac:dyDescent="0.4">
      <c r="G122" s="5"/>
      <c r="H122" s="5"/>
      <c r="I122" s="5"/>
      <c r="M122" t="str">
        <f t="shared" si="3"/>
        <v/>
      </c>
      <c r="N122" t="str">
        <f t="shared" si="4"/>
        <v/>
      </c>
    </row>
    <row r="123" spans="7:14" x14ac:dyDescent="0.4">
      <c r="G123" s="5"/>
      <c r="H123" s="5"/>
      <c r="I123" s="5"/>
      <c r="M123" t="str">
        <f t="shared" si="3"/>
        <v/>
      </c>
      <c r="N123" t="str">
        <f t="shared" si="4"/>
        <v/>
      </c>
    </row>
    <row r="124" spans="7:14" x14ac:dyDescent="0.4">
      <c r="G124" s="5"/>
      <c r="H124" s="5"/>
      <c r="I124" s="5"/>
      <c r="M124" t="str">
        <f t="shared" si="3"/>
        <v/>
      </c>
      <c r="N124" t="str">
        <f t="shared" si="4"/>
        <v/>
      </c>
    </row>
    <row r="125" spans="7:14" x14ac:dyDescent="0.4">
      <c r="G125" s="5"/>
      <c r="H125" s="5"/>
      <c r="I125" s="5"/>
      <c r="M125" t="str">
        <f t="shared" si="3"/>
        <v/>
      </c>
      <c r="N125" t="str">
        <f t="shared" si="4"/>
        <v/>
      </c>
    </row>
    <row r="126" spans="7:14" x14ac:dyDescent="0.4">
      <c r="G126" s="5"/>
      <c r="H126" s="5"/>
      <c r="I126" s="5"/>
      <c r="M126" t="str">
        <f t="shared" si="3"/>
        <v/>
      </c>
      <c r="N126" t="str">
        <f t="shared" si="4"/>
        <v/>
      </c>
    </row>
    <row r="127" spans="7:14" x14ac:dyDescent="0.4">
      <c r="G127" s="5"/>
      <c r="H127" s="5"/>
      <c r="I127" s="5"/>
      <c r="M127" t="str">
        <f t="shared" si="3"/>
        <v/>
      </c>
      <c r="N127" t="str">
        <f t="shared" si="4"/>
        <v/>
      </c>
    </row>
    <row r="128" spans="7:14" x14ac:dyDescent="0.4">
      <c r="G128" s="5"/>
      <c r="H128" s="5"/>
      <c r="I128" s="5"/>
      <c r="M128" t="str">
        <f t="shared" si="3"/>
        <v/>
      </c>
      <c r="N128" t="str">
        <f t="shared" si="4"/>
        <v/>
      </c>
    </row>
    <row r="129" spans="7:14" x14ac:dyDescent="0.4">
      <c r="G129" s="5"/>
      <c r="H129" s="5"/>
      <c r="I129" s="5"/>
      <c r="M129" t="str">
        <f t="shared" si="3"/>
        <v/>
      </c>
      <c r="N129" t="str">
        <f t="shared" si="4"/>
        <v/>
      </c>
    </row>
    <row r="130" spans="7:14" x14ac:dyDescent="0.4">
      <c r="G130" s="5"/>
      <c r="H130" s="5"/>
      <c r="I130" s="5"/>
      <c r="M130" t="str">
        <f t="shared" si="3"/>
        <v/>
      </c>
      <c r="N130" t="str">
        <f t="shared" si="4"/>
        <v/>
      </c>
    </row>
    <row r="131" spans="7:14" x14ac:dyDescent="0.4">
      <c r="G131" s="5"/>
      <c r="H131" s="5"/>
      <c r="I131" s="5"/>
      <c r="M131" t="str">
        <f t="shared" si="3"/>
        <v/>
      </c>
      <c r="N131" t="str">
        <f t="shared" si="4"/>
        <v/>
      </c>
    </row>
    <row r="132" spans="7:14" x14ac:dyDescent="0.4">
      <c r="G132" s="5"/>
      <c r="H132" s="5"/>
      <c r="I132" s="5"/>
      <c r="M132" t="str">
        <f t="shared" ref="M132:M195" si="5">IF(A132="","",MONTH(A132))</f>
        <v/>
      </c>
      <c r="N132" t="str">
        <f t="shared" ref="N132:N195" si="6">IF(A132="","","Q"&amp;ROUNDUP(MONTH(A132)/3,0))</f>
        <v/>
      </c>
    </row>
    <row r="133" spans="7:14" x14ac:dyDescent="0.4">
      <c r="G133" s="5"/>
      <c r="H133" s="5"/>
      <c r="I133" s="5"/>
      <c r="M133" t="str">
        <f t="shared" si="5"/>
        <v/>
      </c>
      <c r="N133" t="str">
        <f t="shared" si="6"/>
        <v/>
      </c>
    </row>
    <row r="134" spans="7:14" x14ac:dyDescent="0.4">
      <c r="G134" s="5"/>
      <c r="H134" s="5"/>
      <c r="I134" s="5"/>
      <c r="M134" t="str">
        <f t="shared" si="5"/>
        <v/>
      </c>
      <c r="N134" t="str">
        <f t="shared" si="6"/>
        <v/>
      </c>
    </row>
    <row r="135" spans="7:14" x14ac:dyDescent="0.4">
      <c r="G135" s="5"/>
      <c r="H135" s="5"/>
      <c r="I135" s="5"/>
      <c r="M135" t="str">
        <f t="shared" si="5"/>
        <v/>
      </c>
      <c r="N135" t="str">
        <f t="shared" si="6"/>
        <v/>
      </c>
    </row>
    <row r="136" spans="7:14" x14ac:dyDescent="0.4">
      <c r="G136" s="5"/>
      <c r="H136" s="5"/>
      <c r="I136" s="5"/>
      <c r="M136" t="str">
        <f t="shared" si="5"/>
        <v/>
      </c>
      <c r="N136" t="str">
        <f t="shared" si="6"/>
        <v/>
      </c>
    </row>
    <row r="137" spans="7:14" x14ac:dyDescent="0.4">
      <c r="G137" s="5"/>
      <c r="H137" s="5"/>
      <c r="I137" s="5"/>
      <c r="M137" t="str">
        <f t="shared" si="5"/>
        <v/>
      </c>
      <c r="N137" t="str">
        <f t="shared" si="6"/>
        <v/>
      </c>
    </row>
    <row r="138" spans="7:14" x14ac:dyDescent="0.4">
      <c r="G138" s="5"/>
      <c r="H138" s="5"/>
      <c r="I138" s="5"/>
      <c r="M138" t="str">
        <f t="shared" si="5"/>
        <v/>
      </c>
      <c r="N138" t="str">
        <f t="shared" si="6"/>
        <v/>
      </c>
    </row>
    <row r="139" spans="7:14" x14ac:dyDescent="0.4">
      <c r="G139" s="5"/>
      <c r="H139" s="5"/>
      <c r="I139" s="5"/>
      <c r="M139" t="str">
        <f t="shared" si="5"/>
        <v/>
      </c>
      <c r="N139" t="str">
        <f t="shared" si="6"/>
        <v/>
      </c>
    </row>
    <row r="140" spans="7:14" x14ac:dyDescent="0.4">
      <c r="G140" s="5"/>
      <c r="H140" s="5"/>
      <c r="I140" s="5"/>
      <c r="M140" t="str">
        <f t="shared" si="5"/>
        <v/>
      </c>
      <c r="N140" t="str">
        <f t="shared" si="6"/>
        <v/>
      </c>
    </row>
    <row r="141" spans="7:14" x14ac:dyDescent="0.4">
      <c r="G141" s="5"/>
      <c r="H141" s="5"/>
      <c r="I141" s="5"/>
      <c r="M141" t="str">
        <f t="shared" si="5"/>
        <v/>
      </c>
      <c r="N141" t="str">
        <f t="shared" si="6"/>
        <v/>
      </c>
    </row>
    <row r="142" spans="7:14" x14ac:dyDescent="0.4">
      <c r="G142" s="5"/>
      <c r="H142" s="5"/>
      <c r="I142" s="5"/>
      <c r="M142" t="str">
        <f t="shared" si="5"/>
        <v/>
      </c>
      <c r="N142" t="str">
        <f t="shared" si="6"/>
        <v/>
      </c>
    </row>
    <row r="143" spans="7:14" x14ac:dyDescent="0.4">
      <c r="G143" s="5"/>
      <c r="H143" s="5"/>
      <c r="I143" s="5"/>
      <c r="M143" t="str">
        <f t="shared" si="5"/>
        <v/>
      </c>
      <c r="N143" t="str">
        <f t="shared" si="6"/>
        <v/>
      </c>
    </row>
    <row r="144" spans="7:14" x14ac:dyDescent="0.4">
      <c r="G144" s="5"/>
      <c r="H144" s="5"/>
      <c r="I144" s="5"/>
      <c r="M144" t="str">
        <f t="shared" si="5"/>
        <v/>
      </c>
      <c r="N144" t="str">
        <f t="shared" si="6"/>
        <v/>
      </c>
    </row>
    <row r="145" spans="7:14" x14ac:dyDescent="0.4">
      <c r="G145" s="5"/>
      <c r="H145" s="5"/>
      <c r="I145" s="5"/>
      <c r="M145" t="str">
        <f t="shared" si="5"/>
        <v/>
      </c>
      <c r="N145" t="str">
        <f t="shared" si="6"/>
        <v/>
      </c>
    </row>
    <row r="146" spans="7:14" x14ac:dyDescent="0.4">
      <c r="G146" s="5"/>
      <c r="H146" s="5"/>
      <c r="I146" s="5"/>
      <c r="M146" t="str">
        <f t="shared" si="5"/>
        <v/>
      </c>
      <c r="N146" t="str">
        <f t="shared" si="6"/>
        <v/>
      </c>
    </row>
    <row r="147" spans="7:14" x14ac:dyDescent="0.4">
      <c r="G147" s="5"/>
      <c r="H147" s="5"/>
      <c r="I147" s="5"/>
      <c r="M147" t="str">
        <f t="shared" si="5"/>
        <v/>
      </c>
      <c r="N147" t="str">
        <f t="shared" si="6"/>
        <v/>
      </c>
    </row>
    <row r="148" spans="7:14" x14ac:dyDescent="0.4">
      <c r="G148" s="5"/>
      <c r="H148" s="5"/>
      <c r="I148" s="5"/>
      <c r="M148" t="str">
        <f t="shared" si="5"/>
        <v/>
      </c>
      <c r="N148" t="str">
        <f t="shared" si="6"/>
        <v/>
      </c>
    </row>
    <row r="149" spans="7:14" x14ac:dyDescent="0.4">
      <c r="G149" s="5"/>
      <c r="H149" s="5"/>
      <c r="I149" s="5"/>
      <c r="M149" t="str">
        <f t="shared" si="5"/>
        <v/>
      </c>
      <c r="N149" t="str">
        <f t="shared" si="6"/>
        <v/>
      </c>
    </row>
    <row r="150" spans="7:14" x14ac:dyDescent="0.4">
      <c r="G150" s="5"/>
      <c r="H150" s="5"/>
      <c r="I150" s="5"/>
      <c r="M150" t="str">
        <f t="shared" si="5"/>
        <v/>
      </c>
      <c r="N150" t="str">
        <f t="shared" si="6"/>
        <v/>
      </c>
    </row>
    <row r="151" spans="7:14" x14ac:dyDescent="0.4">
      <c r="G151" s="5"/>
      <c r="H151" s="5"/>
      <c r="I151" s="5"/>
      <c r="M151" t="str">
        <f t="shared" si="5"/>
        <v/>
      </c>
      <c r="N151" t="str">
        <f t="shared" si="6"/>
        <v/>
      </c>
    </row>
    <row r="152" spans="7:14" x14ac:dyDescent="0.4">
      <c r="G152" s="5"/>
      <c r="H152" s="5"/>
      <c r="I152" s="5"/>
      <c r="M152" t="str">
        <f t="shared" si="5"/>
        <v/>
      </c>
      <c r="N152" t="str">
        <f t="shared" si="6"/>
        <v/>
      </c>
    </row>
    <row r="153" spans="7:14" x14ac:dyDescent="0.4">
      <c r="G153" s="5"/>
      <c r="H153" s="5"/>
      <c r="I153" s="5"/>
      <c r="M153" t="str">
        <f t="shared" si="5"/>
        <v/>
      </c>
      <c r="N153" t="str">
        <f t="shared" si="6"/>
        <v/>
      </c>
    </row>
    <row r="154" spans="7:14" x14ac:dyDescent="0.4">
      <c r="G154" s="5"/>
      <c r="H154" s="5"/>
      <c r="I154" s="5"/>
      <c r="M154" t="str">
        <f t="shared" si="5"/>
        <v/>
      </c>
      <c r="N154" t="str">
        <f t="shared" si="6"/>
        <v/>
      </c>
    </row>
    <row r="155" spans="7:14" x14ac:dyDescent="0.4">
      <c r="G155" s="5"/>
      <c r="H155" s="5"/>
      <c r="I155" s="5"/>
      <c r="M155" t="str">
        <f t="shared" si="5"/>
        <v/>
      </c>
      <c r="N155" t="str">
        <f t="shared" si="6"/>
        <v/>
      </c>
    </row>
    <row r="156" spans="7:14" x14ac:dyDescent="0.4">
      <c r="G156" s="5"/>
      <c r="H156" s="5"/>
      <c r="I156" s="5"/>
      <c r="M156" t="str">
        <f t="shared" si="5"/>
        <v/>
      </c>
      <c r="N156" t="str">
        <f t="shared" si="6"/>
        <v/>
      </c>
    </row>
    <row r="157" spans="7:14" x14ac:dyDescent="0.4">
      <c r="G157" s="5"/>
      <c r="H157" s="5"/>
      <c r="I157" s="5"/>
      <c r="M157" t="str">
        <f t="shared" si="5"/>
        <v/>
      </c>
      <c r="N157" t="str">
        <f t="shared" si="6"/>
        <v/>
      </c>
    </row>
    <row r="158" spans="7:14" x14ac:dyDescent="0.4">
      <c r="G158" s="5"/>
      <c r="H158" s="5"/>
      <c r="I158" s="5"/>
      <c r="M158" t="str">
        <f t="shared" si="5"/>
        <v/>
      </c>
      <c r="N158" t="str">
        <f t="shared" si="6"/>
        <v/>
      </c>
    </row>
    <row r="159" spans="7:14" x14ac:dyDescent="0.4">
      <c r="G159" s="5"/>
      <c r="H159" s="5"/>
      <c r="I159" s="5"/>
      <c r="M159" t="str">
        <f t="shared" si="5"/>
        <v/>
      </c>
      <c r="N159" t="str">
        <f t="shared" si="6"/>
        <v/>
      </c>
    </row>
    <row r="160" spans="7:14" x14ac:dyDescent="0.4">
      <c r="G160" s="5"/>
      <c r="H160" s="5"/>
      <c r="I160" s="5"/>
      <c r="M160" t="str">
        <f t="shared" si="5"/>
        <v/>
      </c>
      <c r="N160" t="str">
        <f t="shared" si="6"/>
        <v/>
      </c>
    </row>
    <row r="161" spans="7:14" x14ac:dyDescent="0.4">
      <c r="G161" s="5"/>
      <c r="H161" s="5"/>
      <c r="I161" s="5"/>
      <c r="M161" t="str">
        <f t="shared" si="5"/>
        <v/>
      </c>
      <c r="N161" t="str">
        <f t="shared" si="6"/>
        <v/>
      </c>
    </row>
    <row r="162" spans="7:14" x14ac:dyDescent="0.4">
      <c r="G162" s="5"/>
      <c r="H162" s="5"/>
      <c r="I162" s="5"/>
      <c r="M162" t="str">
        <f t="shared" si="5"/>
        <v/>
      </c>
      <c r="N162" t="str">
        <f t="shared" si="6"/>
        <v/>
      </c>
    </row>
    <row r="163" spans="7:14" x14ac:dyDescent="0.4">
      <c r="G163" s="5"/>
      <c r="H163" s="5"/>
      <c r="I163" s="5"/>
      <c r="M163" t="str">
        <f t="shared" si="5"/>
        <v/>
      </c>
      <c r="N163" t="str">
        <f t="shared" si="6"/>
        <v/>
      </c>
    </row>
    <row r="164" spans="7:14" x14ac:dyDescent="0.4">
      <c r="G164" s="5"/>
      <c r="H164" s="5"/>
      <c r="I164" s="5"/>
      <c r="M164" t="str">
        <f t="shared" si="5"/>
        <v/>
      </c>
      <c r="N164" t="str">
        <f t="shared" si="6"/>
        <v/>
      </c>
    </row>
    <row r="165" spans="7:14" x14ac:dyDescent="0.4">
      <c r="G165" s="5"/>
      <c r="H165" s="5"/>
      <c r="I165" s="5"/>
      <c r="M165" t="str">
        <f t="shared" si="5"/>
        <v/>
      </c>
      <c r="N165" t="str">
        <f t="shared" si="6"/>
        <v/>
      </c>
    </row>
    <row r="166" spans="7:14" x14ac:dyDescent="0.4">
      <c r="G166" s="5"/>
      <c r="H166" s="5"/>
      <c r="I166" s="5"/>
      <c r="M166" t="str">
        <f t="shared" si="5"/>
        <v/>
      </c>
      <c r="N166" t="str">
        <f t="shared" si="6"/>
        <v/>
      </c>
    </row>
    <row r="167" spans="7:14" x14ac:dyDescent="0.4">
      <c r="G167" s="5"/>
      <c r="H167" s="5"/>
      <c r="I167" s="5"/>
      <c r="M167" t="str">
        <f t="shared" si="5"/>
        <v/>
      </c>
      <c r="N167" t="str">
        <f t="shared" si="6"/>
        <v/>
      </c>
    </row>
    <row r="168" spans="7:14" x14ac:dyDescent="0.4">
      <c r="G168" s="5"/>
      <c r="H168" s="5"/>
      <c r="I168" s="5"/>
      <c r="M168" t="str">
        <f t="shared" si="5"/>
        <v/>
      </c>
      <c r="N168" t="str">
        <f t="shared" si="6"/>
        <v/>
      </c>
    </row>
    <row r="169" spans="7:14" x14ac:dyDescent="0.4">
      <c r="G169" s="5"/>
      <c r="H169" s="5"/>
      <c r="I169" s="5"/>
      <c r="M169" t="str">
        <f t="shared" si="5"/>
        <v/>
      </c>
      <c r="N169" t="str">
        <f t="shared" si="6"/>
        <v/>
      </c>
    </row>
    <row r="170" spans="7:14" x14ac:dyDescent="0.4">
      <c r="G170" s="5"/>
      <c r="H170" s="5"/>
      <c r="I170" s="5"/>
      <c r="M170" t="str">
        <f t="shared" si="5"/>
        <v/>
      </c>
      <c r="N170" t="str">
        <f t="shared" si="6"/>
        <v/>
      </c>
    </row>
    <row r="171" spans="7:14" x14ac:dyDescent="0.4">
      <c r="G171" s="5"/>
      <c r="H171" s="5"/>
      <c r="I171" s="5"/>
      <c r="M171" t="str">
        <f t="shared" si="5"/>
        <v/>
      </c>
      <c r="N171" t="str">
        <f t="shared" si="6"/>
        <v/>
      </c>
    </row>
    <row r="172" spans="7:14" x14ac:dyDescent="0.4">
      <c r="G172" s="5"/>
      <c r="H172" s="5"/>
      <c r="I172" s="5"/>
      <c r="M172" t="str">
        <f t="shared" si="5"/>
        <v/>
      </c>
      <c r="N172" t="str">
        <f t="shared" si="6"/>
        <v/>
      </c>
    </row>
    <row r="173" spans="7:14" x14ac:dyDescent="0.4">
      <c r="G173" s="5"/>
      <c r="H173" s="5"/>
      <c r="I173" s="5"/>
      <c r="M173" t="str">
        <f t="shared" si="5"/>
        <v/>
      </c>
      <c r="N173" t="str">
        <f t="shared" si="6"/>
        <v/>
      </c>
    </row>
    <row r="174" spans="7:14" x14ac:dyDescent="0.4">
      <c r="G174" s="5"/>
      <c r="H174" s="5"/>
      <c r="I174" s="5"/>
      <c r="M174" t="str">
        <f t="shared" si="5"/>
        <v/>
      </c>
      <c r="N174" t="str">
        <f t="shared" si="6"/>
        <v/>
      </c>
    </row>
    <row r="175" spans="7:14" x14ac:dyDescent="0.4">
      <c r="G175" s="5"/>
      <c r="H175" s="5"/>
      <c r="I175" s="5"/>
      <c r="M175" t="str">
        <f t="shared" si="5"/>
        <v/>
      </c>
      <c r="N175" t="str">
        <f t="shared" si="6"/>
        <v/>
      </c>
    </row>
    <row r="176" spans="7:14" x14ac:dyDescent="0.4">
      <c r="G176" s="5"/>
      <c r="H176" s="5"/>
      <c r="I176" s="5"/>
      <c r="M176" t="str">
        <f t="shared" si="5"/>
        <v/>
      </c>
      <c r="N176" t="str">
        <f t="shared" si="6"/>
        <v/>
      </c>
    </row>
    <row r="177" spans="7:14" x14ac:dyDescent="0.4">
      <c r="G177" s="5"/>
      <c r="H177" s="5"/>
      <c r="I177" s="5"/>
      <c r="M177" t="str">
        <f t="shared" si="5"/>
        <v/>
      </c>
      <c r="N177" t="str">
        <f t="shared" si="6"/>
        <v/>
      </c>
    </row>
    <row r="178" spans="7:14" x14ac:dyDescent="0.4">
      <c r="G178" s="5"/>
      <c r="H178" s="5"/>
      <c r="I178" s="5"/>
      <c r="M178" t="str">
        <f t="shared" si="5"/>
        <v/>
      </c>
      <c r="N178" t="str">
        <f t="shared" si="6"/>
        <v/>
      </c>
    </row>
    <row r="179" spans="7:14" x14ac:dyDescent="0.4">
      <c r="G179" s="5"/>
      <c r="H179" s="5"/>
      <c r="I179" s="5"/>
      <c r="M179" t="str">
        <f t="shared" si="5"/>
        <v/>
      </c>
      <c r="N179" t="str">
        <f t="shared" si="6"/>
        <v/>
      </c>
    </row>
    <row r="180" spans="7:14" x14ac:dyDescent="0.4">
      <c r="G180" s="5"/>
      <c r="H180" s="5"/>
      <c r="I180" s="5"/>
      <c r="M180" t="str">
        <f t="shared" si="5"/>
        <v/>
      </c>
      <c r="N180" t="str">
        <f t="shared" si="6"/>
        <v/>
      </c>
    </row>
    <row r="181" spans="7:14" x14ac:dyDescent="0.4">
      <c r="G181" s="5"/>
      <c r="H181" s="5"/>
      <c r="I181" s="5"/>
      <c r="M181" t="str">
        <f t="shared" si="5"/>
        <v/>
      </c>
      <c r="N181" t="str">
        <f t="shared" si="6"/>
        <v/>
      </c>
    </row>
    <row r="182" spans="7:14" x14ac:dyDescent="0.4">
      <c r="G182" s="5"/>
      <c r="H182" s="5"/>
      <c r="I182" s="5"/>
      <c r="M182" t="str">
        <f t="shared" si="5"/>
        <v/>
      </c>
      <c r="N182" t="str">
        <f t="shared" si="6"/>
        <v/>
      </c>
    </row>
    <row r="183" spans="7:14" x14ac:dyDescent="0.4">
      <c r="G183" s="5"/>
      <c r="H183" s="5"/>
      <c r="I183" s="5"/>
      <c r="M183" t="str">
        <f t="shared" si="5"/>
        <v/>
      </c>
      <c r="N183" t="str">
        <f t="shared" si="6"/>
        <v/>
      </c>
    </row>
    <row r="184" spans="7:14" x14ac:dyDescent="0.4">
      <c r="G184" s="5"/>
      <c r="H184" s="5"/>
      <c r="I184" s="5"/>
      <c r="M184" t="str">
        <f t="shared" si="5"/>
        <v/>
      </c>
      <c r="N184" t="str">
        <f t="shared" si="6"/>
        <v/>
      </c>
    </row>
    <row r="185" spans="7:14" x14ac:dyDescent="0.4">
      <c r="G185" s="5"/>
      <c r="H185" s="5"/>
      <c r="I185" s="5"/>
      <c r="M185" t="str">
        <f t="shared" si="5"/>
        <v/>
      </c>
      <c r="N185" t="str">
        <f t="shared" si="6"/>
        <v/>
      </c>
    </row>
    <row r="186" spans="7:14" x14ac:dyDescent="0.4">
      <c r="G186" s="5"/>
      <c r="H186" s="5"/>
      <c r="I186" s="5"/>
      <c r="M186" t="str">
        <f t="shared" si="5"/>
        <v/>
      </c>
      <c r="N186" t="str">
        <f t="shared" si="6"/>
        <v/>
      </c>
    </row>
    <row r="187" spans="7:14" x14ac:dyDescent="0.4">
      <c r="G187" s="5"/>
      <c r="H187" s="5"/>
      <c r="I187" s="5"/>
      <c r="M187" t="str">
        <f t="shared" si="5"/>
        <v/>
      </c>
      <c r="N187" t="str">
        <f t="shared" si="6"/>
        <v/>
      </c>
    </row>
    <row r="188" spans="7:14" x14ac:dyDescent="0.4">
      <c r="G188" s="5"/>
      <c r="H188" s="5"/>
      <c r="I188" s="5"/>
      <c r="M188" t="str">
        <f t="shared" si="5"/>
        <v/>
      </c>
      <c r="N188" t="str">
        <f t="shared" si="6"/>
        <v/>
      </c>
    </row>
    <row r="189" spans="7:14" x14ac:dyDescent="0.4">
      <c r="G189" s="5"/>
      <c r="H189" s="5"/>
      <c r="I189" s="5"/>
      <c r="M189" t="str">
        <f t="shared" si="5"/>
        <v/>
      </c>
      <c r="N189" t="str">
        <f t="shared" si="6"/>
        <v/>
      </c>
    </row>
    <row r="190" spans="7:14" x14ac:dyDescent="0.4">
      <c r="G190" s="5"/>
      <c r="H190" s="5"/>
      <c r="I190" s="5"/>
      <c r="M190" t="str">
        <f t="shared" si="5"/>
        <v/>
      </c>
      <c r="N190" t="str">
        <f t="shared" si="6"/>
        <v/>
      </c>
    </row>
    <row r="191" spans="7:14" x14ac:dyDescent="0.4">
      <c r="G191" s="5"/>
      <c r="H191" s="5"/>
      <c r="I191" s="5"/>
      <c r="M191" t="str">
        <f t="shared" si="5"/>
        <v/>
      </c>
      <c r="N191" t="str">
        <f t="shared" si="6"/>
        <v/>
      </c>
    </row>
    <row r="192" spans="7:14" x14ac:dyDescent="0.4">
      <c r="G192" s="5"/>
      <c r="H192" s="5"/>
      <c r="I192" s="5"/>
      <c r="M192" t="str">
        <f t="shared" si="5"/>
        <v/>
      </c>
      <c r="N192" t="str">
        <f t="shared" si="6"/>
        <v/>
      </c>
    </row>
    <row r="193" spans="7:14" x14ac:dyDescent="0.4">
      <c r="G193" s="5"/>
      <c r="H193" s="5"/>
      <c r="I193" s="5"/>
      <c r="M193" t="str">
        <f t="shared" si="5"/>
        <v/>
      </c>
      <c r="N193" t="str">
        <f t="shared" si="6"/>
        <v/>
      </c>
    </row>
    <row r="194" spans="7:14" x14ac:dyDescent="0.4">
      <c r="G194" s="5"/>
      <c r="H194" s="5"/>
      <c r="I194" s="5"/>
      <c r="M194" t="str">
        <f t="shared" si="5"/>
        <v/>
      </c>
      <c r="N194" t="str">
        <f t="shared" si="6"/>
        <v/>
      </c>
    </row>
    <row r="195" spans="7:14" x14ac:dyDescent="0.4">
      <c r="G195" s="5"/>
      <c r="H195" s="5"/>
      <c r="I195" s="5"/>
      <c r="M195" t="str">
        <f t="shared" si="5"/>
        <v/>
      </c>
      <c r="N195" t="str">
        <f t="shared" si="6"/>
        <v/>
      </c>
    </row>
    <row r="196" spans="7:14" x14ac:dyDescent="0.4">
      <c r="G196" s="5"/>
      <c r="H196" s="5"/>
      <c r="I196" s="5"/>
      <c r="M196" t="str">
        <f t="shared" ref="M196:M259" si="7">IF(A196="","",MONTH(A196))</f>
        <v/>
      </c>
      <c r="N196" t="str">
        <f t="shared" ref="N196:N259" si="8">IF(A196="","","Q"&amp;ROUNDUP(MONTH(A196)/3,0))</f>
        <v/>
      </c>
    </row>
    <row r="197" spans="7:14" x14ac:dyDescent="0.4">
      <c r="G197" s="5"/>
      <c r="H197" s="5"/>
      <c r="I197" s="5"/>
      <c r="M197" t="str">
        <f t="shared" si="7"/>
        <v/>
      </c>
      <c r="N197" t="str">
        <f t="shared" si="8"/>
        <v/>
      </c>
    </row>
    <row r="198" spans="7:14" x14ac:dyDescent="0.4">
      <c r="G198" s="5"/>
      <c r="H198" s="5"/>
      <c r="I198" s="5"/>
      <c r="M198" t="str">
        <f t="shared" si="7"/>
        <v/>
      </c>
      <c r="N198" t="str">
        <f t="shared" si="8"/>
        <v/>
      </c>
    </row>
    <row r="199" spans="7:14" x14ac:dyDescent="0.4">
      <c r="G199" s="5"/>
      <c r="H199" s="5"/>
      <c r="I199" s="5"/>
      <c r="M199" t="str">
        <f t="shared" si="7"/>
        <v/>
      </c>
      <c r="N199" t="str">
        <f t="shared" si="8"/>
        <v/>
      </c>
    </row>
    <row r="200" spans="7:14" x14ac:dyDescent="0.4">
      <c r="G200" s="5"/>
      <c r="H200" s="5"/>
      <c r="I200" s="5"/>
      <c r="M200" t="str">
        <f t="shared" si="7"/>
        <v/>
      </c>
      <c r="N200" t="str">
        <f t="shared" si="8"/>
        <v/>
      </c>
    </row>
    <row r="201" spans="7:14" x14ac:dyDescent="0.4">
      <c r="G201" s="5"/>
      <c r="H201" s="5"/>
      <c r="I201" s="5"/>
      <c r="M201" t="str">
        <f t="shared" si="7"/>
        <v/>
      </c>
      <c r="N201" t="str">
        <f t="shared" si="8"/>
        <v/>
      </c>
    </row>
    <row r="202" spans="7:14" x14ac:dyDescent="0.4">
      <c r="G202" s="5"/>
      <c r="H202" s="5"/>
      <c r="I202" s="5"/>
      <c r="M202" t="str">
        <f t="shared" si="7"/>
        <v/>
      </c>
      <c r="N202" t="str">
        <f t="shared" si="8"/>
        <v/>
      </c>
    </row>
    <row r="203" spans="7:14" x14ac:dyDescent="0.4">
      <c r="G203" s="5"/>
      <c r="H203" s="5"/>
      <c r="I203" s="5"/>
      <c r="M203" t="str">
        <f t="shared" si="7"/>
        <v/>
      </c>
      <c r="N203" t="str">
        <f t="shared" si="8"/>
        <v/>
      </c>
    </row>
    <row r="204" spans="7:14" x14ac:dyDescent="0.4">
      <c r="G204" s="5"/>
      <c r="H204" s="5"/>
      <c r="I204" s="5"/>
      <c r="M204" t="str">
        <f t="shared" si="7"/>
        <v/>
      </c>
      <c r="N204" t="str">
        <f t="shared" si="8"/>
        <v/>
      </c>
    </row>
    <row r="205" spans="7:14" x14ac:dyDescent="0.4">
      <c r="G205" s="5"/>
      <c r="H205" s="5"/>
      <c r="I205" s="5"/>
      <c r="M205" t="str">
        <f t="shared" si="7"/>
        <v/>
      </c>
      <c r="N205" t="str">
        <f t="shared" si="8"/>
        <v/>
      </c>
    </row>
    <row r="206" spans="7:14" x14ac:dyDescent="0.4">
      <c r="G206" s="5"/>
      <c r="H206" s="5"/>
      <c r="I206" s="5"/>
      <c r="M206" t="str">
        <f t="shared" si="7"/>
        <v/>
      </c>
      <c r="N206" t="str">
        <f t="shared" si="8"/>
        <v/>
      </c>
    </row>
    <row r="207" spans="7:14" x14ac:dyDescent="0.4">
      <c r="G207" s="5"/>
      <c r="H207" s="5"/>
      <c r="I207" s="5"/>
      <c r="M207" t="str">
        <f t="shared" si="7"/>
        <v/>
      </c>
      <c r="N207" t="str">
        <f t="shared" si="8"/>
        <v/>
      </c>
    </row>
    <row r="208" spans="7:14" x14ac:dyDescent="0.4">
      <c r="G208" s="5"/>
      <c r="H208" s="5"/>
      <c r="I208" s="5"/>
      <c r="M208" t="str">
        <f t="shared" si="7"/>
        <v/>
      </c>
      <c r="N208" t="str">
        <f t="shared" si="8"/>
        <v/>
      </c>
    </row>
    <row r="209" spans="7:14" x14ac:dyDescent="0.4">
      <c r="G209" s="5"/>
      <c r="H209" s="5"/>
      <c r="I209" s="5"/>
      <c r="M209" t="str">
        <f t="shared" si="7"/>
        <v/>
      </c>
      <c r="N209" t="str">
        <f t="shared" si="8"/>
        <v/>
      </c>
    </row>
    <row r="210" spans="7:14" x14ac:dyDescent="0.4">
      <c r="G210" s="5"/>
      <c r="H210" s="5"/>
      <c r="I210" s="5"/>
      <c r="M210" t="str">
        <f t="shared" si="7"/>
        <v/>
      </c>
      <c r="N210" t="str">
        <f t="shared" si="8"/>
        <v/>
      </c>
    </row>
    <row r="211" spans="7:14" x14ac:dyDescent="0.4">
      <c r="G211" s="5"/>
      <c r="H211" s="5"/>
      <c r="I211" s="5"/>
      <c r="M211" t="str">
        <f t="shared" si="7"/>
        <v/>
      </c>
      <c r="N211" t="str">
        <f t="shared" si="8"/>
        <v/>
      </c>
    </row>
    <row r="212" spans="7:14" x14ac:dyDescent="0.4">
      <c r="G212" s="5"/>
      <c r="H212" s="5"/>
      <c r="I212" s="5"/>
      <c r="M212" t="str">
        <f t="shared" si="7"/>
        <v/>
      </c>
      <c r="N212" t="str">
        <f t="shared" si="8"/>
        <v/>
      </c>
    </row>
    <row r="213" spans="7:14" x14ac:dyDescent="0.4">
      <c r="G213" s="5"/>
      <c r="H213" s="5"/>
      <c r="I213" s="5"/>
      <c r="M213" t="str">
        <f t="shared" si="7"/>
        <v/>
      </c>
      <c r="N213" t="str">
        <f t="shared" si="8"/>
        <v/>
      </c>
    </row>
    <row r="214" spans="7:14" x14ac:dyDescent="0.4">
      <c r="G214" s="5"/>
      <c r="H214" s="5"/>
      <c r="I214" s="5"/>
      <c r="M214" t="str">
        <f t="shared" si="7"/>
        <v/>
      </c>
      <c r="N214" t="str">
        <f t="shared" si="8"/>
        <v/>
      </c>
    </row>
    <row r="215" spans="7:14" x14ac:dyDescent="0.4">
      <c r="G215" s="5"/>
      <c r="H215" s="5"/>
      <c r="I215" s="5"/>
      <c r="M215" t="str">
        <f t="shared" si="7"/>
        <v/>
      </c>
      <c r="N215" t="str">
        <f t="shared" si="8"/>
        <v/>
      </c>
    </row>
    <row r="216" spans="7:14" x14ac:dyDescent="0.4">
      <c r="G216" s="5"/>
      <c r="H216" s="5"/>
      <c r="I216" s="5"/>
      <c r="M216" t="str">
        <f t="shared" si="7"/>
        <v/>
      </c>
      <c r="N216" t="str">
        <f t="shared" si="8"/>
        <v/>
      </c>
    </row>
    <row r="217" spans="7:14" x14ac:dyDescent="0.4">
      <c r="G217" s="5"/>
      <c r="H217" s="5"/>
      <c r="I217" s="5"/>
      <c r="M217" t="str">
        <f t="shared" si="7"/>
        <v/>
      </c>
      <c r="N217" t="str">
        <f t="shared" si="8"/>
        <v/>
      </c>
    </row>
    <row r="218" spans="7:14" x14ac:dyDescent="0.4">
      <c r="G218" s="5"/>
      <c r="H218" s="5"/>
      <c r="I218" s="5"/>
      <c r="M218" t="str">
        <f t="shared" si="7"/>
        <v/>
      </c>
      <c r="N218" t="str">
        <f t="shared" si="8"/>
        <v/>
      </c>
    </row>
    <row r="219" spans="7:14" x14ac:dyDescent="0.4">
      <c r="G219" s="5"/>
      <c r="H219" s="5"/>
      <c r="I219" s="5"/>
      <c r="M219" t="str">
        <f t="shared" si="7"/>
        <v/>
      </c>
      <c r="N219" t="str">
        <f t="shared" si="8"/>
        <v/>
      </c>
    </row>
    <row r="220" spans="7:14" x14ac:dyDescent="0.4">
      <c r="G220" s="5"/>
      <c r="H220" s="5"/>
      <c r="I220" s="5"/>
      <c r="M220" t="str">
        <f t="shared" si="7"/>
        <v/>
      </c>
      <c r="N220" t="str">
        <f t="shared" si="8"/>
        <v/>
      </c>
    </row>
    <row r="221" spans="7:14" x14ac:dyDescent="0.4">
      <c r="G221" s="5"/>
      <c r="H221" s="5"/>
      <c r="I221" s="5"/>
      <c r="M221" t="str">
        <f t="shared" si="7"/>
        <v/>
      </c>
      <c r="N221" t="str">
        <f t="shared" si="8"/>
        <v/>
      </c>
    </row>
    <row r="222" spans="7:14" x14ac:dyDescent="0.4">
      <c r="G222" s="5"/>
      <c r="H222" s="5"/>
      <c r="I222" s="5"/>
      <c r="M222" t="str">
        <f t="shared" si="7"/>
        <v/>
      </c>
      <c r="N222" t="str">
        <f t="shared" si="8"/>
        <v/>
      </c>
    </row>
    <row r="223" spans="7:14" x14ac:dyDescent="0.4">
      <c r="G223" s="5"/>
      <c r="H223" s="5"/>
      <c r="I223" s="5"/>
      <c r="M223" t="str">
        <f t="shared" si="7"/>
        <v/>
      </c>
      <c r="N223" t="str">
        <f t="shared" si="8"/>
        <v/>
      </c>
    </row>
    <row r="224" spans="7:14" x14ac:dyDescent="0.4">
      <c r="G224" s="5"/>
      <c r="H224" s="5"/>
      <c r="I224" s="5"/>
      <c r="M224" t="str">
        <f t="shared" si="7"/>
        <v/>
      </c>
      <c r="N224" t="str">
        <f t="shared" si="8"/>
        <v/>
      </c>
    </row>
    <row r="225" spans="7:14" x14ac:dyDescent="0.4">
      <c r="G225" s="5"/>
      <c r="H225" s="5"/>
      <c r="I225" s="5"/>
      <c r="M225" t="str">
        <f t="shared" si="7"/>
        <v/>
      </c>
      <c r="N225" t="str">
        <f t="shared" si="8"/>
        <v/>
      </c>
    </row>
    <row r="226" spans="7:14" x14ac:dyDescent="0.4">
      <c r="G226" s="5"/>
      <c r="H226" s="5"/>
      <c r="I226" s="5"/>
      <c r="M226" t="str">
        <f t="shared" si="7"/>
        <v/>
      </c>
      <c r="N226" t="str">
        <f t="shared" si="8"/>
        <v/>
      </c>
    </row>
    <row r="227" spans="7:14" x14ac:dyDescent="0.4">
      <c r="G227" s="5"/>
      <c r="H227" s="5"/>
      <c r="I227" s="5"/>
      <c r="M227" t="str">
        <f t="shared" si="7"/>
        <v/>
      </c>
      <c r="N227" t="str">
        <f t="shared" si="8"/>
        <v/>
      </c>
    </row>
    <row r="228" spans="7:14" x14ac:dyDescent="0.4">
      <c r="G228" s="5"/>
      <c r="H228" s="5"/>
      <c r="I228" s="5"/>
      <c r="M228" t="str">
        <f t="shared" si="7"/>
        <v/>
      </c>
      <c r="N228" t="str">
        <f t="shared" si="8"/>
        <v/>
      </c>
    </row>
    <row r="229" spans="7:14" x14ac:dyDescent="0.4">
      <c r="G229" s="5"/>
      <c r="H229" s="5"/>
      <c r="I229" s="5"/>
      <c r="M229" t="str">
        <f t="shared" si="7"/>
        <v/>
      </c>
      <c r="N229" t="str">
        <f t="shared" si="8"/>
        <v/>
      </c>
    </row>
    <row r="230" spans="7:14" x14ac:dyDescent="0.4">
      <c r="G230" s="5"/>
      <c r="H230" s="5"/>
      <c r="I230" s="5"/>
      <c r="M230" t="str">
        <f t="shared" si="7"/>
        <v/>
      </c>
      <c r="N230" t="str">
        <f t="shared" si="8"/>
        <v/>
      </c>
    </row>
    <row r="231" spans="7:14" x14ac:dyDescent="0.4">
      <c r="G231" s="5"/>
      <c r="H231" s="5"/>
      <c r="I231" s="5"/>
      <c r="M231" t="str">
        <f t="shared" si="7"/>
        <v/>
      </c>
      <c r="N231" t="str">
        <f t="shared" si="8"/>
        <v/>
      </c>
    </row>
    <row r="232" spans="7:14" x14ac:dyDescent="0.4">
      <c r="G232" s="5"/>
      <c r="H232" s="5"/>
      <c r="I232" s="5"/>
      <c r="M232" t="str">
        <f t="shared" si="7"/>
        <v/>
      </c>
      <c r="N232" t="str">
        <f t="shared" si="8"/>
        <v/>
      </c>
    </row>
    <row r="233" spans="7:14" x14ac:dyDescent="0.4">
      <c r="G233" s="5"/>
      <c r="H233" s="5"/>
      <c r="I233" s="5"/>
      <c r="M233" t="str">
        <f t="shared" si="7"/>
        <v/>
      </c>
      <c r="N233" t="str">
        <f t="shared" si="8"/>
        <v/>
      </c>
    </row>
    <row r="234" spans="7:14" x14ac:dyDescent="0.4">
      <c r="G234" s="5"/>
      <c r="H234" s="5"/>
      <c r="I234" s="5"/>
      <c r="M234" t="str">
        <f t="shared" si="7"/>
        <v/>
      </c>
      <c r="N234" t="str">
        <f t="shared" si="8"/>
        <v/>
      </c>
    </row>
    <row r="235" spans="7:14" x14ac:dyDescent="0.4">
      <c r="G235" s="5"/>
      <c r="H235" s="5"/>
      <c r="I235" s="5"/>
      <c r="M235" t="str">
        <f t="shared" si="7"/>
        <v/>
      </c>
      <c r="N235" t="str">
        <f t="shared" si="8"/>
        <v/>
      </c>
    </row>
    <row r="236" spans="7:14" x14ac:dyDescent="0.4">
      <c r="G236" s="5"/>
      <c r="H236" s="5"/>
      <c r="I236" s="5"/>
      <c r="M236" t="str">
        <f t="shared" si="7"/>
        <v/>
      </c>
      <c r="N236" t="str">
        <f t="shared" si="8"/>
        <v/>
      </c>
    </row>
    <row r="237" spans="7:14" x14ac:dyDescent="0.4">
      <c r="G237" s="5"/>
      <c r="H237" s="5"/>
      <c r="I237" s="5"/>
      <c r="M237" t="str">
        <f t="shared" si="7"/>
        <v/>
      </c>
      <c r="N237" t="str">
        <f t="shared" si="8"/>
        <v/>
      </c>
    </row>
    <row r="238" spans="7:14" x14ac:dyDescent="0.4">
      <c r="G238" s="5"/>
      <c r="H238" s="5"/>
      <c r="I238" s="5"/>
      <c r="M238" t="str">
        <f t="shared" si="7"/>
        <v/>
      </c>
      <c r="N238" t="str">
        <f t="shared" si="8"/>
        <v/>
      </c>
    </row>
    <row r="239" spans="7:14" x14ac:dyDescent="0.4">
      <c r="G239" s="5"/>
      <c r="H239" s="5"/>
      <c r="I239" s="5"/>
      <c r="M239" t="str">
        <f t="shared" si="7"/>
        <v/>
      </c>
      <c r="N239" t="str">
        <f t="shared" si="8"/>
        <v/>
      </c>
    </row>
    <row r="240" spans="7:14" x14ac:dyDescent="0.4">
      <c r="G240" s="5"/>
      <c r="H240" s="5"/>
      <c r="I240" s="5"/>
      <c r="M240" t="str">
        <f t="shared" si="7"/>
        <v/>
      </c>
      <c r="N240" t="str">
        <f t="shared" si="8"/>
        <v/>
      </c>
    </row>
    <row r="241" spans="7:14" x14ac:dyDescent="0.4">
      <c r="G241" s="5"/>
      <c r="H241" s="5"/>
      <c r="I241" s="5"/>
      <c r="M241" t="str">
        <f t="shared" si="7"/>
        <v/>
      </c>
      <c r="N241" t="str">
        <f t="shared" si="8"/>
        <v/>
      </c>
    </row>
    <row r="242" spans="7:14" x14ac:dyDescent="0.4">
      <c r="G242" s="5"/>
      <c r="H242" s="5"/>
      <c r="I242" s="5"/>
      <c r="M242" t="str">
        <f t="shared" si="7"/>
        <v/>
      </c>
      <c r="N242" t="str">
        <f t="shared" si="8"/>
        <v/>
      </c>
    </row>
    <row r="243" spans="7:14" x14ac:dyDescent="0.4">
      <c r="G243" s="5"/>
      <c r="H243" s="5"/>
      <c r="I243" s="5"/>
      <c r="M243" t="str">
        <f t="shared" si="7"/>
        <v/>
      </c>
      <c r="N243" t="str">
        <f t="shared" si="8"/>
        <v/>
      </c>
    </row>
    <row r="244" spans="7:14" x14ac:dyDescent="0.4">
      <c r="G244" s="5"/>
      <c r="H244" s="5"/>
      <c r="I244" s="5"/>
      <c r="M244" t="str">
        <f t="shared" si="7"/>
        <v/>
      </c>
      <c r="N244" t="str">
        <f t="shared" si="8"/>
        <v/>
      </c>
    </row>
    <row r="245" spans="7:14" x14ac:dyDescent="0.4">
      <c r="G245" s="5"/>
      <c r="H245" s="5"/>
      <c r="I245" s="5"/>
      <c r="M245" t="str">
        <f t="shared" si="7"/>
        <v/>
      </c>
      <c r="N245" t="str">
        <f t="shared" si="8"/>
        <v/>
      </c>
    </row>
    <row r="246" spans="7:14" x14ac:dyDescent="0.4">
      <c r="G246" s="5"/>
      <c r="H246" s="5"/>
      <c r="I246" s="5"/>
      <c r="M246" t="str">
        <f t="shared" si="7"/>
        <v/>
      </c>
      <c r="N246" t="str">
        <f t="shared" si="8"/>
        <v/>
      </c>
    </row>
    <row r="247" spans="7:14" x14ac:dyDescent="0.4">
      <c r="G247" s="5"/>
      <c r="H247" s="5"/>
      <c r="I247" s="5"/>
      <c r="M247" t="str">
        <f t="shared" si="7"/>
        <v/>
      </c>
      <c r="N247" t="str">
        <f t="shared" si="8"/>
        <v/>
      </c>
    </row>
    <row r="248" spans="7:14" x14ac:dyDescent="0.4">
      <c r="G248" s="5"/>
      <c r="H248" s="5"/>
      <c r="I248" s="5"/>
      <c r="M248" t="str">
        <f t="shared" si="7"/>
        <v/>
      </c>
      <c r="N248" t="str">
        <f t="shared" si="8"/>
        <v/>
      </c>
    </row>
    <row r="249" spans="7:14" x14ac:dyDescent="0.4">
      <c r="G249" s="5"/>
      <c r="H249" s="5"/>
      <c r="I249" s="5"/>
      <c r="M249" t="str">
        <f t="shared" si="7"/>
        <v/>
      </c>
      <c r="N249" t="str">
        <f t="shared" si="8"/>
        <v/>
      </c>
    </row>
    <row r="250" spans="7:14" x14ac:dyDescent="0.4">
      <c r="G250" s="5"/>
      <c r="H250" s="5"/>
      <c r="I250" s="5"/>
      <c r="M250" t="str">
        <f t="shared" si="7"/>
        <v/>
      </c>
      <c r="N250" t="str">
        <f t="shared" si="8"/>
        <v/>
      </c>
    </row>
    <row r="251" spans="7:14" x14ac:dyDescent="0.4">
      <c r="G251" s="5"/>
      <c r="H251" s="5"/>
      <c r="I251" s="5"/>
      <c r="M251" t="str">
        <f t="shared" si="7"/>
        <v/>
      </c>
      <c r="N251" t="str">
        <f t="shared" si="8"/>
        <v/>
      </c>
    </row>
    <row r="252" spans="7:14" x14ac:dyDescent="0.4">
      <c r="G252" s="5"/>
      <c r="H252" s="5"/>
      <c r="I252" s="5"/>
      <c r="M252" t="str">
        <f t="shared" si="7"/>
        <v/>
      </c>
      <c r="N252" t="str">
        <f t="shared" si="8"/>
        <v/>
      </c>
    </row>
    <row r="253" spans="7:14" x14ac:dyDescent="0.4">
      <c r="G253" s="5"/>
      <c r="H253" s="5"/>
      <c r="I253" s="5"/>
      <c r="M253" t="str">
        <f t="shared" si="7"/>
        <v/>
      </c>
      <c r="N253" t="str">
        <f t="shared" si="8"/>
        <v/>
      </c>
    </row>
    <row r="254" spans="7:14" x14ac:dyDescent="0.4">
      <c r="G254" s="5"/>
      <c r="H254" s="5"/>
      <c r="I254" s="5"/>
      <c r="M254" t="str">
        <f t="shared" si="7"/>
        <v/>
      </c>
      <c r="N254" t="str">
        <f t="shared" si="8"/>
        <v/>
      </c>
    </row>
    <row r="255" spans="7:14" x14ac:dyDescent="0.4">
      <c r="G255" s="5"/>
      <c r="H255" s="5"/>
      <c r="I255" s="5"/>
      <c r="M255" t="str">
        <f t="shared" si="7"/>
        <v/>
      </c>
      <c r="N255" t="str">
        <f t="shared" si="8"/>
        <v/>
      </c>
    </row>
    <row r="256" spans="7:14" x14ac:dyDescent="0.4">
      <c r="G256" s="5"/>
      <c r="H256" s="5"/>
      <c r="I256" s="5"/>
      <c r="M256" t="str">
        <f t="shared" si="7"/>
        <v/>
      </c>
      <c r="N256" t="str">
        <f t="shared" si="8"/>
        <v/>
      </c>
    </row>
    <row r="257" spans="7:14" x14ac:dyDescent="0.4">
      <c r="G257" s="5"/>
      <c r="H257" s="5"/>
      <c r="I257" s="5"/>
      <c r="M257" t="str">
        <f t="shared" si="7"/>
        <v/>
      </c>
      <c r="N257" t="str">
        <f t="shared" si="8"/>
        <v/>
      </c>
    </row>
    <row r="258" spans="7:14" x14ac:dyDescent="0.4">
      <c r="G258" s="5"/>
      <c r="H258" s="5"/>
      <c r="I258" s="5"/>
      <c r="M258" t="str">
        <f t="shared" si="7"/>
        <v/>
      </c>
      <c r="N258" t="str">
        <f t="shared" si="8"/>
        <v/>
      </c>
    </row>
    <row r="259" spans="7:14" x14ac:dyDescent="0.4">
      <c r="G259" s="5"/>
      <c r="H259" s="5"/>
      <c r="I259" s="5"/>
      <c r="M259" t="str">
        <f t="shared" si="7"/>
        <v/>
      </c>
      <c r="N259" t="str">
        <f t="shared" si="8"/>
        <v/>
      </c>
    </row>
    <row r="260" spans="7:14" x14ac:dyDescent="0.4">
      <c r="G260" s="5"/>
      <c r="H260" s="5"/>
      <c r="I260" s="5"/>
      <c r="M260" t="str">
        <f t="shared" ref="M260:M323" si="9">IF(A260="","",MONTH(A260))</f>
        <v/>
      </c>
      <c r="N260" t="str">
        <f t="shared" ref="N260:N323" si="10">IF(A260="","","Q"&amp;ROUNDUP(MONTH(A260)/3,0))</f>
        <v/>
      </c>
    </row>
    <row r="261" spans="7:14" x14ac:dyDescent="0.4">
      <c r="G261" s="5"/>
      <c r="H261" s="5"/>
      <c r="I261" s="5"/>
      <c r="M261" t="str">
        <f t="shared" si="9"/>
        <v/>
      </c>
      <c r="N261" t="str">
        <f t="shared" si="10"/>
        <v/>
      </c>
    </row>
    <row r="262" spans="7:14" x14ac:dyDescent="0.4">
      <c r="G262" s="5"/>
      <c r="H262" s="5"/>
      <c r="I262" s="5"/>
      <c r="M262" t="str">
        <f t="shared" si="9"/>
        <v/>
      </c>
      <c r="N262" t="str">
        <f t="shared" si="10"/>
        <v/>
      </c>
    </row>
    <row r="263" spans="7:14" x14ac:dyDescent="0.4">
      <c r="G263" s="5"/>
      <c r="H263" s="5"/>
      <c r="I263" s="5"/>
      <c r="M263" t="str">
        <f t="shared" si="9"/>
        <v/>
      </c>
      <c r="N263" t="str">
        <f t="shared" si="10"/>
        <v/>
      </c>
    </row>
    <row r="264" spans="7:14" x14ac:dyDescent="0.4">
      <c r="G264" s="5"/>
      <c r="H264" s="5"/>
      <c r="I264" s="5"/>
      <c r="M264" t="str">
        <f t="shared" si="9"/>
        <v/>
      </c>
      <c r="N264" t="str">
        <f t="shared" si="10"/>
        <v/>
      </c>
    </row>
    <row r="265" spans="7:14" x14ac:dyDescent="0.4">
      <c r="G265" s="5"/>
      <c r="H265" s="5"/>
      <c r="I265" s="5"/>
      <c r="M265" t="str">
        <f t="shared" si="9"/>
        <v/>
      </c>
      <c r="N265" t="str">
        <f t="shared" si="10"/>
        <v/>
      </c>
    </row>
    <row r="266" spans="7:14" x14ac:dyDescent="0.4">
      <c r="G266" s="5"/>
      <c r="H266" s="5"/>
      <c r="I266" s="5"/>
      <c r="M266" t="str">
        <f t="shared" si="9"/>
        <v/>
      </c>
      <c r="N266" t="str">
        <f t="shared" si="10"/>
        <v/>
      </c>
    </row>
    <row r="267" spans="7:14" x14ac:dyDescent="0.4">
      <c r="G267" s="5"/>
      <c r="H267" s="5"/>
      <c r="I267" s="5"/>
      <c r="M267" t="str">
        <f t="shared" si="9"/>
        <v/>
      </c>
      <c r="N267" t="str">
        <f t="shared" si="10"/>
        <v/>
      </c>
    </row>
    <row r="268" spans="7:14" x14ac:dyDescent="0.4">
      <c r="G268" s="5"/>
      <c r="H268" s="5"/>
      <c r="I268" s="5"/>
      <c r="M268" t="str">
        <f t="shared" si="9"/>
        <v/>
      </c>
      <c r="N268" t="str">
        <f t="shared" si="10"/>
        <v/>
      </c>
    </row>
    <row r="269" spans="7:14" x14ac:dyDescent="0.4">
      <c r="G269" s="5"/>
      <c r="H269" s="5"/>
      <c r="I269" s="5"/>
      <c r="M269" t="str">
        <f t="shared" si="9"/>
        <v/>
      </c>
      <c r="N269" t="str">
        <f t="shared" si="10"/>
        <v/>
      </c>
    </row>
    <row r="270" spans="7:14" x14ac:dyDescent="0.4">
      <c r="G270" s="5"/>
      <c r="H270" s="5"/>
      <c r="I270" s="5"/>
      <c r="M270" t="str">
        <f t="shared" si="9"/>
        <v/>
      </c>
      <c r="N270" t="str">
        <f t="shared" si="10"/>
        <v/>
      </c>
    </row>
    <row r="271" spans="7:14" x14ac:dyDescent="0.4">
      <c r="G271" s="5"/>
      <c r="H271" s="5"/>
      <c r="I271" s="5"/>
      <c r="M271" t="str">
        <f t="shared" si="9"/>
        <v/>
      </c>
      <c r="N271" t="str">
        <f t="shared" si="10"/>
        <v/>
      </c>
    </row>
    <row r="272" spans="7:14" x14ac:dyDescent="0.4">
      <c r="G272" s="5"/>
      <c r="H272" s="5"/>
      <c r="I272" s="5"/>
      <c r="M272" t="str">
        <f t="shared" si="9"/>
        <v/>
      </c>
      <c r="N272" t="str">
        <f t="shared" si="10"/>
        <v/>
      </c>
    </row>
    <row r="273" spans="7:14" x14ac:dyDescent="0.4">
      <c r="G273" s="5"/>
      <c r="H273" s="5"/>
      <c r="I273" s="5"/>
      <c r="M273" t="str">
        <f t="shared" si="9"/>
        <v/>
      </c>
      <c r="N273" t="str">
        <f t="shared" si="10"/>
        <v/>
      </c>
    </row>
    <row r="274" spans="7:14" x14ac:dyDescent="0.4">
      <c r="G274" s="5"/>
      <c r="H274" s="5"/>
      <c r="I274" s="5"/>
      <c r="M274" t="str">
        <f t="shared" si="9"/>
        <v/>
      </c>
      <c r="N274" t="str">
        <f t="shared" si="10"/>
        <v/>
      </c>
    </row>
    <row r="275" spans="7:14" x14ac:dyDescent="0.4">
      <c r="G275" s="5"/>
      <c r="H275" s="5"/>
      <c r="I275" s="5"/>
      <c r="M275" t="str">
        <f t="shared" si="9"/>
        <v/>
      </c>
      <c r="N275" t="str">
        <f t="shared" si="10"/>
        <v/>
      </c>
    </row>
    <row r="276" spans="7:14" x14ac:dyDescent="0.4">
      <c r="G276" s="5"/>
      <c r="H276" s="5"/>
      <c r="I276" s="5"/>
      <c r="M276" t="str">
        <f t="shared" si="9"/>
        <v/>
      </c>
      <c r="N276" t="str">
        <f t="shared" si="10"/>
        <v/>
      </c>
    </row>
    <row r="277" spans="7:14" x14ac:dyDescent="0.4">
      <c r="G277" s="5"/>
      <c r="H277" s="5"/>
      <c r="I277" s="5"/>
      <c r="M277" t="str">
        <f t="shared" si="9"/>
        <v/>
      </c>
      <c r="N277" t="str">
        <f t="shared" si="10"/>
        <v/>
      </c>
    </row>
    <row r="278" spans="7:14" x14ac:dyDescent="0.4">
      <c r="G278" s="5"/>
      <c r="H278" s="5"/>
      <c r="I278" s="5"/>
      <c r="M278" t="str">
        <f t="shared" si="9"/>
        <v/>
      </c>
      <c r="N278" t="str">
        <f t="shared" si="10"/>
        <v/>
      </c>
    </row>
    <row r="279" spans="7:14" x14ac:dyDescent="0.4">
      <c r="G279" s="5"/>
      <c r="H279" s="5"/>
      <c r="I279" s="5"/>
      <c r="M279" t="str">
        <f t="shared" si="9"/>
        <v/>
      </c>
      <c r="N279" t="str">
        <f t="shared" si="10"/>
        <v/>
      </c>
    </row>
    <row r="280" spans="7:14" x14ac:dyDescent="0.4">
      <c r="G280" s="5"/>
      <c r="H280" s="5"/>
      <c r="I280" s="5"/>
      <c r="M280" t="str">
        <f t="shared" si="9"/>
        <v/>
      </c>
      <c r="N280" t="str">
        <f t="shared" si="10"/>
        <v/>
      </c>
    </row>
    <row r="281" spans="7:14" x14ac:dyDescent="0.4">
      <c r="G281" s="5"/>
      <c r="H281" s="5"/>
      <c r="I281" s="5"/>
      <c r="M281" t="str">
        <f t="shared" si="9"/>
        <v/>
      </c>
      <c r="N281" t="str">
        <f t="shared" si="10"/>
        <v/>
      </c>
    </row>
    <row r="282" spans="7:14" x14ac:dyDescent="0.4">
      <c r="G282" s="5"/>
      <c r="H282" s="5"/>
      <c r="I282" s="5"/>
      <c r="M282" t="str">
        <f t="shared" si="9"/>
        <v/>
      </c>
      <c r="N282" t="str">
        <f t="shared" si="10"/>
        <v/>
      </c>
    </row>
    <row r="283" spans="7:14" x14ac:dyDescent="0.4">
      <c r="G283" s="5"/>
      <c r="H283" s="5"/>
      <c r="I283" s="5"/>
      <c r="M283" t="str">
        <f t="shared" si="9"/>
        <v/>
      </c>
      <c r="N283" t="str">
        <f t="shared" si="10"/>
        <v/>
      </c>
    </row>
    <row r="284" spans="7:14" x14ac:dyDescent="0.4">
      <c r="G284" s="5"/>
      <c r="H284" s="5"/>
      <c r="I284" s="5"/>
      <c r="M284" t="str">
        <f t="shared" si="9"/>
        <v/>
      </c>
      <c r="N284" t="str">
        <f t="shared" si="10"/>
        <v/>
      </c>
    </row>
    <row r="285" spans="7:14" x14ac:dyDescent="0.4">
      <c r="G285" s="5"/>
      <c r="H285" s="5"/>
      <c r="I285" s="5"/>
      <c r="M285" t="str">
        <f t="shared" si="9"/>
        <v/>
      </c>
      <c r="N285" t="str">
        <f t="shared" si="10"/>
        <v/>
      </c>
    </row>
    <row r="286" spans="7:14" x14ac:dyDescent="0.4">
      <c r="G286" s="5"/>
      <c r="H286" s="5"/>
      <c r="I286" s="5"/>
      <c r="M286" t="str">
        <f t="shared" si="9"/>
        <v/>
      </c>
      <c r="N286" t="str">
        <f t="shared" si="10"/>
        <v/>
      </c>
    </row>
    <row r="287" spans="7:14" x14ac:dyDescent="0.4">
      <c r="G287" s="5"/>
      <c r="H287" s="5"/>
      <c r="I287" s="5"/>
      <c r="M287" t="str">
        <f t="shared" si="9"/>
        <v/>
      </c>
      <c r="N287" t="str">
        <f t="shared" si="10"/>
        <v/>
      </c>
    </row>
    <row r="288" spans="7:14" x14ac:dyDescent="0.4">
      <c r="G288" s="5"/>
      <c r="H288" s="5"/>
      <c r="I288" s="5"/>
      <c r="M288" t="str">
        <f t="shared" si="9"/>
        <v/>
      </c>
      <c r="N288" t="str">
        <f t="shared" si="10"/>
        <v/>
      </c>
    </row>
    <row r="289" spans="7:14" x14ac:dyDescent="0.4">
      <c r="G289" s="5"/>
      <c r="H289" s="5"/>
      <c r="I289" s="5"/>
      <c r="M289" t="str">
        <f t="shared" si="9"/>
        <v/>
      </c>
      <c r="N289" t="str">
        <f t="shared" si="10"/>
        <v/>
      </c>
    </row>
    <row r="290" spans="7:14" x14ac:dyDescent="0.4">
      <c r="G290" s="5"/>
      <c r="H290" s="5"/>
      <c r="I290" s="5"/>
      <c r="M290" t="str">
        <f t="shared" si="9"/>
        <v/>
      </c>
      <c r="N290" t="str">
        <f t="shared" si="10"/>
        <v/>
      </c>
    </row>
    <row r="291" spans="7:14" x14ac:dyDescent="0.4">
      <c r="G291" s="5"/>
      <c r="H291" s="5"/>
      <c r="I291" s="5"/>
      <c r="M291" t="str">
        <f t="shared" si="9"/>
        <v/>
      </c>
      <c r="N291" t="str">
        <f t="shared" si="10"/>
        <v/>
      </c>
    </row>
    <row r="292" spans="7:14" x14ac:dyDescent="0.4">
      <c r="G292" s="5"/>
      <c r="H292" s="5"/>
      <c r="I292" s="5"/>
      <c r="M292" t="str">
        <f t="shared" si="9"/>
        <v/>
      </c>
      <c r="N292" t="str">
        <f t="shared" si="10"/>
        <v/>
      </c>
    </row>
    <row r="293" spans="7:14" x14ac:dyDescent="0.4">
      <c r="G293" s="5"/>
      <c r="H293" s="5"/>
      <c r="I293" s="5"/>
      <c r="M293" t="str">
        <f t="shared" si="9"/>
        <v/>
      </c>
      <c r="N293" t="str">
        <f t="shared" si="10"/>
        <v/>
      </c>
    </row>
    <row r="294" spans="7:14" x14ac:dyDescent="0.4">
      <c r="G294" s="5"/>
      <c r="H294" s="5"/>
      <c r="I294" s="5"/>
      <c r="M294" t="str">
        <f t="shared" si="9"/>
        <v/>
      </c>
      <c r="N294" t="str">
        <f t="shared" si="10"/>
        <v/>
      </c>
    </row>
    <row r="295" spans="7:14" x14ac:dyDescent="0.4">
      <c r="G295" s="5"/>
      <c r="H295" s="5"/>
      <c r="I295" s="5"/>
      <c r="M295" t="str">
        <f t="shared" si="9"/>
        <v/>
      </c>
      <c r="N295" t="str">
        <f t="shared" si="10"/>
        <v/>
      </c>
    </row>
    <row r="296" spans="7:14" x14ac:dyDescent="0.4">
      <c r="G296" s="5"/>
      <c r="H296" s="5"/>
      <c r="I296" s="5"/>
      <c r="M296" t="str">
        <f t="shared" si="9"/>
        <v/>
      </c>
      <c r="N296" t="str">
        <f t="shared" si="10"/>
        <v/>
      </c>
    </row>
    <row r="297" spans="7:14" x14ac:dyDescent="0.4">
      <c r="G297" s="5"/>
      <c r="H297" s="5"/>
      <c r="I297" s="5"/>
      <c r="M297" t="str">
        <f t="shared" si="9"/>
        <v/>
      </c>
      <c r="N297" t="str">
        <f t="shared" si="10"/>
        <v/>
      </c>
    </row>
    <row r="298" spans="7:14" x14ac:dyDescent="0.4">
      <c r="G298" s="5"/>
      <c r="H298" s="5"/>
      <c r="I298" s="5"/>
      <c r="M298" t="str">
        <f t="shared" si="9"/>
        <v/>
      </c>
      <c r="N298" t="str">
        <f t="shared" si="10"/>
        <v/>
      </c>
    </row>
    <row r="299" spans="7:14" x14ac:dyDescent="0.4">
      <c r="G299" s="5"/>
      <c r="H299" s="5"/>
      <c r="I299" s="5"/>
      <c r="M299" t="str">
        <f t="shared" si="9"/>
        <v/>
      </c>
      <c r="N299" t="str">
        <f t="shared" si="10"/>
        <v/>
      </c>
    </row>
    <row r="300" spans="7:14" x14ac:dyDescent="0.4">
      <c r="G300" s="5"/>
      <c r="H300" s="5"/>
      <c r="I300" s="5"/>
      <c r="M300" t="str">
        <f t="shared" si="9"/>
        <v/>
      </c>
      <c r="N300" t="str">
        <f t="shared" si="10"/>
        <v/>
      </c>
    </row>
    <row r="301" spans="7:14" x14ac:dyDescent="0.4">
      <c r="G301" s="5"/>
      <c r="H301" s="5"/>
      <c r="I301" s="5"/>
      <c r="M301" t="str">
        <f t="shared" si="9"/>
        <v/>
      </c>
      <c r="N301" t="str">
        <f t="shared" si="10"/>
        <v/>
      </c>
    </row>
    <row r="302" spans="7:14" x14ac:dyDescent="0.4">
      <c r="G302" s="5"/>
      <c r="H302" s="5"/>
      <c r="I302" s="5"/>
      <c r="M302" t="str">
        <f t="shared" si="9"/>
        <v/>
      </c>
      <c r="N302" t="str">
        <f t="shared" si="10"/>
        <v/>
      </c>
    </row>
    <row r="303" spans="7:14" x14ac:dyDescent="0.4">
      <c r="G303" s="5"/>
      <c r="H303" s="5"/>
      <c r="I303" s="5"/>
      <c r="M303" t="str">
        <f t="shared" si="9"/>
        <v/>
      </c>
      <c r="N303" t="str">
        <f t="shared" si="10"/>
        <v/>
      </c>
    </row>
    <row r="304" spans="7:14" x14ac:dyDescent="0.4">
      <c r="G304" s="5"/>
      <c r="H304" s="5"/>
      <c r="I304" s="5"/>
      <c r="M304" t="str">
        <f t="shared" si="9"/>
        <v/>
      </c>
      <c r="N304" t="str">
        <f t="shared" si="10"/>
        <v/>
      </c>
    </row>
    <row r="305" spans="7:14" x14ac:dyDescent="0.4">
      <c r="G305" s="5"/>
      <c r="H305" s="5"/>
      <c r="I305" s="5"/>
      <c r="M305" t="str">
        <f t="shared" si="9"/>
        <v/>
      </c>
      <c r="N305" t="str">
        <f t="shared" si="10"/>
        <v/>
      </c>
    </row>
    <row r="306" spans="7:14" x14ac:dyDescent="0.4">
      <c r="G306" s="5"/>
      <c r="H306" s="5"/>
      <c r="I306" s="5"/>
      <c r="M306" t="str">
        <f t="shared" si="9"/>
        <v/>
      </c>
      <c r="N306" t="str">
        <f t="shared" si="10"/>
        <v/>
      </c>
    </row>
    <row r="307" spans="7:14" x14ac:dyDescent="0.4">
      <c r="G307" s="5"/>
      <c r="H307" s="5"/>
      <c r="I307" s="5"/>
      <c r="M307" t="str">
        <f t="shared" si="9"/>
        <v/>
      </c>
      <c r="N307" t="str">
        <f t="shared" si="10"/>
        <v/>
      </c>
    </row>
    <row r="308" spans="7:14" x14ac:dyDescent="0.4">
      <c r="G308" s="5"/>
      <c r="H308" s="5"/>
      <c r="I308" s="5"/>
      <c r="M308" t="str">
        <f t="shared" si="9"/>
        <v/>
      </c>
      <c r="N308" t="str">
        <f t="shared" si="10"/>
        <v/>
      </c>
    </row>
    <row r="309" spans="7:14" x14ac:dyDescent="0.4">
      <c r="G309" s="5"/>
      <c r="H309" s="5"/>
      <c r="I309" s="5"/>
      <c r="M309" t="str">
        <f t="shared" si="9"/>
        <v/>
      </c>
      <c r="N309" t="str">
        <f t="shared" si="10"/>
        <v/>
      </c>
    </row>
    <row r="310" spans="7:14" x14ac:dyDescent="0.4">
      <c r="G310" s="5"/>
      <c r="H310" s="5"/>
      <c r="I310" s="5"/>
      <c r="M310" t="str">
        <f t="shared" si="9"/>
        <v/>
      </c>
      <c r="N310" t="str">
        <f t="shared" si="10"/>
        <v/>
      </c>
    </row>
    <row r="311" spans="7:14" x14ac:dyDescent="0.4">
      <c r="G311" s="5"/>
      <c r="H311" s="5"/>
      <c r="I311" s="5"/>
      <c r="M311" t="str">
        <f t="shared" si="9"/>
        <v/>
      </c>
      <c r="N311" t="str">
        <f t="shared" si="10"/>
        <v/>
      </c>
    </row>
    <row r="312" spans="7:14" x14ac:dyDescent="0.4">
      <c r="G312" s="5"/>
      <c r="H312" s="5"/>
      <c r="I312" s="5"/>
      <c r="M312" t="str">
        <f t="shared" si="9"/>
        <v/>
      </c>
      <c r="N312" t="str">
        <f t="shared" si="10"/>
        <v/>
      </c>
    </row>
    <row r="313" spans="7:14" x14ac:dyDescent="0.4">
      <c r="G313" s="5"/>
      <c r="H313" s="5"/>
      <c r="I313" s="5"/>
      <c r="M313" t="str">
        <f t="shared" si="9"/>
        <v/>
      </c>
      <c r="N313" t="str">
        <f t="shared" si="10"/>
        <v/>
      </c>
    </row>
    <row r="314" spans="7:14" x14ac:dyDescent="0.4">
      <c r="G314" s="5"/>
      <c r="H314" s="5"/>
      <c r="I314" s="5"/>
      <c r="M314" t="str">
        <f t="shared" si="9"/>
        <v/>
      </c>
      <c r="N314" t="str">
        <f t="shared" si="10"/>
        <v/>
      </c>
    </row>
    <row r="315" spans="7:14" x14ac:dyDescent="0.4">
      <c r="G315" s="5"/>
      <c r="H315" s="5"/>
      <c r="I315" s="5"/>
      <c r="M315" t="str">
        <f t="shared" si="9"/>
        <v/>
      </c>
      <c r="N315" t="str">
        <f t="shared" si="10"/>
        <v/>
      </c>
    </row>
    <row r="316" spans="7:14" x14ac:dyDescent="0.4">
      <c r="G316" s="5"/>
      <c r="H316" s="5"/>
      <c r="I316" s="5"/>
      <c r="M316" t="str">
        <f t="shared" si="9"/>
        <v/>
      </c>
      <c r="N316" t="str">
        <f t="shared" si="10"/>
        <v/>
      </c>
    </row>
    <row r="317" spans="7:14" x14ac:dyDescent="0.4">
      <c r="G317" s="5"/>
      <c r="H317" s="5"/>
      <c r="I317" s="5"/>
      <c r="M317" t="str">
        <f t="shared" si="9"/>
        <v/>
      </c>
      <c r="N317" t="str">
        <f t="shared" si="10"/>
        <v/>
      </c>
    </row>
    <row r="318" spans="7:14" x14ac:dyDescent="0.4">
      <c r="G318" s="5"/>
      <c r="H318" s="5"/>
      <c r="I318" s="5"/>
      <c r="M318" t="str">
        <f t="shared" si="9"/>
        <v/>
      </c>
      <c r="N318" t="str">
        <f t="shared" si="10"/>
        <v/>
      </c>
    </row>
    <row r="319" spans="7:14" x14ac:dyDescent="0.4">
      <c r="G319" s="5"/>
      <c r="H319" s="5"/>
      <c r="I319" s="5"/>
      <c r="M319" t="str">
        <f t="shared" si="9"/>
        <v/>
      </c>
      <c r="N319" t="str">
        <f t="shared" si="10"/>
        <v/>
      </c>
    </row>
    <row r="320" spans="7:14" x14ac:dyDescent="0.4">
      <c r="G320" s="5"/>
      <c r="H320" s="5"/>
      <c r="I320" s="5"/>
      <c r="M320" t="str">
        <f t="shared" si="9"/>
        <v/>
      </c>
      <c r="N320" t="str">
        <f t="shared" si="10"/>
        <v/>
      </c>
    </row>
    <row r="321" spans="7:14" x14ac:dyDescent="0.4">
      <c r="G321" s="5"/>
      <c r="H321" s="5"/>
      <c r="I321" s="5"/>
      <c r="M321" t="str">
        <f t="shared" si="9"/>
        <v/>
      </c>
      <c r="N321" t="str">
        <f t="shared" si="10"/>
        <v/>
      </c>
    </row>
    <row r="322" spans="7:14" x14ac:dyDescent="0.4">
      <c r="G322" s="5"/>
      <c r="H322" s="5"/>
      <c r="I322" s="5"/>
      <c r="M322" t="str">
        <f t="shared" si="9"/>
        <v/>
      </c>
      <c r="N322" t="str">
        <f t="shared" si="10"/>
        <v/>
      </c>
    </row>
    <row r="323" spans="7:14" x14ac:dyDescent="0.4">
      <c r="G323" s="5"/>
      <c r="H323" s="5"/>
      <c r="I323" s="5"/>
      <c r="M323" t="str">
        <f t="shared" si="9"/>
        <v/>
      </c>
      <c r="N323" t="str">
        <f t="shared" si="10"/>
        <v/>
      </c>
    </row>
    <row r="324" spans="7:14" x14ac:dyDescent="0.4">
      <c r="G324" s="5"/>
      <c r="H324" s="5"/>
      <c r="I324" s="5"/>
      <c r="M324" t="str">
        <f t="shared" ref="M324:M387" si="11">IF(A324="","",MONTH(A324))</f>
        <v/>
      </c>
      <c r="N324" t="str">
        <f t="shared" ref="N324:N387" si="12">IF(A324="","","Q"&amp;ROUNDUP(MONTH(A324)/3,0))</f>
        <v/>
      </c>
    </row>
    <row r="325" spans="7:14" x14ac:dyDescent="0.4">
      <c r="G325" s="5"/>
      <c r="H325" s="5"/>
      <c r="I325" s="5"/>
      <c r="M325" t="str">
        <f t="shared" si="11"/>
        <v/>
      </c>
      <c r="N325" t="str">
        <f t="shared" si="12"/>
        <v/>
      </c>
    </row>
    <row r="326" spans="7:14" x14ac:dyDescent="0.4">
      <c r="G326" s="5"/>
      <c r="H326" s="5"/>
      <c r="I326" s="5"/>
      <c r="M326" t="str">
        <f t="shared" si="11"/>
        <v/>
      </c>
      <c r="N326" t="str">
        <f t="shared" si="12"/>
        <v/>
      </c>
    </row>
    <row r="327" spans="7:14" x14ac:dyDescent="0.4">
      <c r="G327" s="5"/>
      <c r="H327" s="5"/>
      <c r="I327" s="5"/>
      <c r="M327" t="str">
        <f t="shared" si="11"/>
        <v/>
      </c>
      <c r="N327" t="str">
        <f t="shared" si="12"/>
        <v/>
      </c>
    </row>
    <row r="328" spans="7:14" x14ac:dyDescent="0.4">
      <c r="G328" s="5"/>
      <c r="H328" s="5"/>
      <c r="I328" s="5"/>
      <c r="M328" t="str">
        <f t="shared" si="11"/>
        <v/>
      </c>
      <c r="N328" t="str">
        <f t="shared" si="12"/>
        <v/>
      </c>
    </row>
    <row r="329" spans="7:14" x14ac:dyDescent="0.4">
      <c r="G329" s="5"/>
      <c r="H329" s="5"/>
      <c r="I329" s="5"/>
      <c r="M329" t="str">
        <f t="shared" si="11"/>
        <v/>
      </c>
      <c r="N329" t="str">
        <f t="shared" si="12"/>
        <v/>
      </c>
    </row>
    <row r="330" spans="7:14" x14ac:dyDescent="0.4">
      <c r="G330" s="5"/>
      <c r="H330" s="5"/>
      <c r="I330" s="5"/>
      <c r="M330" t="str">
        <f t="shared" si="11"/>
        <v/>
      </c>
      <c r="N330" t="str">
        <f t="shared" si="12"/>
        <v/>
      </c>
    </row>
    <row r="331" spans="7:14" x14ac:dyDescent="0.4">
      <c r="G331" s="5"/>
      <c r="H331" s="5"/>
      <c r="I331" s="5"/>
      <c r="M331" t="str">
        <f t="shared" si="11"/>
        <v/>
      </c>
      <c r="N331" t="str">
        <f t="shared" si="12"/>
        <v/>
      </c>
    </row>
    <row r="332" spans="7:14" x14ac:dyDescent="0.4">
      <c r="G332" s="5"/>
      <c r="H332" s="5"/>
      <c r="I332" s="5"/>
      <c r="M332" t="str">
        <f t="shared" si="11"/>
        <v/>
      </c>
      <c r="N332" t="str">
        <f t="shared" si="12"/>
        <v/>
      </c>
    </row>
    <row r="333" spans="7:14" x14ac:dyDescent="0.4">
      <c r="G333" s="5"/>
      <c r="H333" s="5"/>
      <c r="I333" s="5"/>
      <c r="M333" t="str">
        <f t="shared" si="11"/>
        <v/>
      </c>
      <c r="N333" t="str">
        <f t="shared" si="12"/>
        <v/>
      </c>
    </row>
    <row r="334" spans="7:14" x14ac:dyDescent="0.4">
      <c r="G334" s="5"/>
      <c r="H334" s="5"/>
      <c r="I334" s="5"/>
      <c r="M334" t="str">
        <f t="shared" si="11"/>
        <v/>
      </c>
      <c r="N334" t="str">
        <f t="shared" si="12"/>
        <v/>
      </c>
    </row>
    <row r="335" spans="7:14" x14ac:dyDescent="0.4">
      <c r="G335" s="5"/>
      <c r="H335" s="5"/>
      <c r="I335" s="5"/>
      <c r="M335" t="str">
        <f t="shared" si="11"/>
        <v/>
      </c>
      <c r="N335" t="str">
        <f t="shared" si="12"/>
        <v/>
      </c>
    </row>
    <row r="336" spans="7:14" x14ac:dyDescent="0.4">
      <c r="G336" s="5"/>
      <c r="H336" s="5"/>
      <c r="I336" s="5"/>
      <c r="M336" t="str">
        <f t="shared" si="11"/>
        <v/>
      </c>
      <c r="N336" t="str">
        <f t="shared" si="12"/>
        <v/>
      </c>
    </row>
    <row r="337" spans="7:14" x14ac:dyDescent="0.4">
      <c r="G337" s="5"/>
      <c r="H337" s="5"/>
      <c r="I337" s="5"/>
      <c r="M337" t="str">
        <f t="shared" si="11"/>
        <v/>
      </c>
      <c r="N337" t="str">
        <f t="shared" si="12"/>
        <v/>
      </c>
    </row>
    <row r="338" spans="7:14" x14ac:dyDescent="0.4">
      <c r="G338" s="5"/>
      <c r="H338" s="5"/>
      <c r="I338" s="5"/>
      <c r="M338" t="str">
        <f t="shared" si="11"/>
        <v/>
      </c>
      <c r="N338" t="str">
        <f t="shared" si="12"/>
        <v/>
      </c>
    </row>
    <row r="339" spans="7:14" x14ac:dyDescent="0.4">
      <c r="G339" s="5"/>
      <c r="H339" s="5"/>
      <c r="I339" s="5"/>
      <c r="M339" t="str">
        <f t="shared" si="11"/>
        <v/>
      </c>
      <c r="N339" t="str">
        <f t="shared" si="12"/>
        <v/>
      </c>
    </row>
    <row r="340" spans="7:14" x14ac:dyDescent="0.4">
      <c r="G340" s="5"/>
      <c r="H340" s="5"/>
      <c r="I340" s="5"/>
      <c r="M340" t="str">
        <f t="shared" si="11"/>
        <v/>
      </c>
      <c r="N340" t="str">
        <f t="shared" si="12"/>
        <v/>
      </c>
    </row>
    <row r="341" spans="7:14" x14ac:dyDescent="0.4">
      <c r="G341" s="5"/>
      <c r="H341" s="5"/>
      <c r="I341" s="5"/>
      <c r="M341" t="str">
        <f t="shared" si="11"/>
        <v/>
      </c>
      <c r="N341" t="str">
        <f t="shared" si="12"/>
        <v/>
      </c>
    </row>
    <row r="342" spans="7:14" x14ac:dyDescent="0.4">
      <c r="G342" s="5"/>
      <c r="H342" s="5"/>
      <c r="I342" s="5"/>
      <c r="M342" t="str">
        <f t="shared" si="11"/>
        <v/>
      </c>
      <c r="N342" t="str">
        <f t="shared" si="12"/>
        <v/>
      </c>
    </row>
    <row r="343" spans="7:14" x14ac:dyDescent="0.4">
      <c r="G343" s="5"/>
      <c r="H343" s="5"/>
      <c r="I343" s="5"/>
      <c r="M343" t="str">
        <f t="shared" si="11"/>
        <v/>
      </c>
      <c r="N343" t="str">
        <f t="shared" si="12"/>
        <v/>
      </c>
    </row>
    <row r="344" spans="7:14" x14ac:dyDescent="0.4">
      <c r="G344" s="5"/>
      <c r="H344" s="5"/>
      <c r="I344" s="5"/>
      <c r="M344" t="str">
        <f t="shared" si="11"/>
        <v/>
      </c>
      <c r="N344" t="str">
        <f t="shared" si="12"/>
        <v/>
      </c>
    </row>
    <row r="345" spans="7:14" x14ac:dyDescent="0.4">
      <c r="G345" s="5"/>
      <c r="H345" s="5"/>
      <c r="I345" s="5"/>
      <c r="M345" t="str">
        <f t="shared" si="11"/>
        <v/>
      </c>
      <c r="N345" t="str">
        <f t="shared" si="12"/>
        <v/>
      </c>
    </row>
    <row r="346" spans="7:14" x14ac:dyDescent="0.4">
      <c r="G346" s="5"/>
      <c r="H346" s="5"/>
      <c r="I346" s="5"/>
      <c r="M346" t="str">
        <f t="shared" si="11"/>
        <v/>
      </c>
      <c r="N346" t="str">
        <f t="shared" si="12"/>
        <v/>
      </c>
    </row>
    <row r="347" spans="7:14" x14ac:dyDescent="0.4">
      <c r="G347" s="5"/>
      <c r="H347" s="5"/>
      <c r="I347" s="5"/>
      <c r="M347" t="str">
        <f t="shared" si="11"/>
        <v/>
      </c>
      <c r="N347" t="str">
        <f t="shared" si="12"/>
        <v/>
      </c>
    </row>
    <row r="348" spans="7:14" x14ac:dyDescent="0.4">
      <c r="G348" s="5"/>
      <c r="H348" s="5"/>
      <c r="I348" s="5"/>
      <c r="M348" t="str">
        <f t="shared" si="11"/>
        <v/>
      </c>
      <c r="N348" t="str">
        <f t="shared" si="12"/>
        <v/>
      </c>
    </row>
    <row r="349" spans="7:14" x14ac:dyDescent="0.4">
      <c r="G349" s="5"/>
      <c r="H349" s="5"/>
      <c r="I349" s="5"/>
      <c r="M349" t="str">
        <f t="shared" si="11"/>
        <v/>
      </c>
      <c r="N349" t="str">
        <f t="shared" si="12"/>
        <v/>
      </c>
    </row>
    <row r="350" spans="7:14" x14ac:dyDescent="0.4">
      <c r="G350" s="5"/>
      <c r="H350" s="5"/>
      <c r="I350" s="5"/>
      <c r="M350" t="str">
        <f t="shared" si="11"/>
        <v/>
      </c>
      <c r="N350" t="str">
        <f t="shared" si="12"/>
        <v/>
      </c>
    </row>
    <row r="351" spans="7:14" x14ac:dyDescent="0.4">
      <c r="G351" s="5"/>
      <c r="H351" s="5"/>
      <c r="I351" s="5"/>
      <c r="M351" t="str">
        <f t="shared" si="11"/>
        <v/>
      </c>
      <c r="N351" t="str">
        <f t="shared" si="12"/>
        <v/>
      </c>
    </row>
    <row r="352" spans="7:14" x14ac:dyDescent="0.4">
      <c r="G352" s="5"/>
      <c r="H352" s="5"/>
      <c r="I352" s="5"/>
      <c r="M352" t="str">
        <f t="shared" si="11"/>
        <v/>
      </c>
      <c r="N352" t="str">
        <f t="shared" si="12"/>
        <v/>
      </c>
    </row>
    <row r="353" spans="7:14" x14ac:dyDescent="0.4">
      <c r="G353" s="5"/>
      <c r="H353" s="5"/>
      <c r="I353" s="5"/>
      <c r="M353" t="str">
        <f t="shared" si="11"/>
        <v/>
      </c>
      <c r="N353" t="str">
        <f t="shared" si="12"/>
        <v/>
      </c>
    </row>
    <row r="354" spans="7:14" x14ac:dyDescent="0.4">
      <c r="G354" s="5"/>
      <c r="H354" s="5"/>
      <c r="I354" s="5"/>
      <c r="M354" t="str">
        <f t="shared" si="11"/>
        <v/>
      </c>
      <c r="N354" t="str">
        <f t="shared" si="12"/>
        <v/>
      </c>
    </row>
    <row r="355" spans="7:14" x14ac:dyDescent="0.4">
      <c r="G355" s="5"/>
      <c r="H355" s="5"/>
      <c r="I355" s="5"/>
      <c r="M355" t="str">
        <f t="shared" si="11"/>
        <v/>
      </c>
      <c r="N355" t="str">
        <f t="shared" si="12"/>
        <v/>
      </c>
    </row>
    <row r="356" spans="7:14" x14ac:dyDescent="0.4">
      <c r="G356" s="5"/>
      <c r="H356" s="5"/>
      <c r="I356" s="5"/>
      <c r="M356" t="str">
        <f t="shared" si="11"/>
        <v/>
      </c>
      <c r="N356" t="str">
        <f t="shared" si="12"/>
        <v/>
      </c>
    </row>
    <row r="357" spans="7:14" x14ac:dyDescent="0.4">
      <c r="G357" s="5"/>
      <c r="H357" s="5"/>
      <c r="I357" s="5"/>
      <c r="M357" t="str">
        <f t="shared" si="11"/>
        <v/>
      </c>
      <c r="N357" t="str">
        <f t="shared" si="12"/>
        <v/>
      </c>
    </row>
    <row r="358" spans="7:14" x14ac:dyDescent="0.4">
      <c r="G358" s="5"/>
      <c r="H358" s="5"/>
      <c r="I358" s="5"/>
      <c r="M358" t="str">
        <f t="shared" si="11"/>
        <v/>
      </c>
      <c r="N358" t="str">
        <f t="shared" si="12"/>
        <v/>
      </c>
    </row>
    <row r="359" spans="7:14" x14ac:dyDescent="0.4">
      <c r="G359" s="5"/>
      <c r="H359" s="5"/>
      <c r="I359" s="5"/>
      <c r="M359" t="str">
        <f t="shared" si="11"/>
        <v/>
      </c>
      <c r="N359" t="str">
        <f t="shared" si="12"/>
        <v/>
      </c>
    </row>
    <row r="360" spans="7:14" x14ac:dyDescent="0.4">
      <c r="G360" s="5"/>
      <c r="H360" s="5"/>
      <c r="I360" s="5"/>
      <c r="M360" t="str">
        <f t="shared" si="11"/>
        <v/>
      </c>
      <c r="N360" t="str">
        <f t="shared" si="12"/>
        <v/>
      </c>
    </row>
    <row r="361" spans="7:14" x14ac:dyDescent="0.4">
      <c r="G361" s="5"/>
      <c r="H361" s="5"/>
      <c r="I361" s="5"/>
      <c r="M361" t="str">
        <f t="shared" si="11"/>
        <v/>
      </c>
      <c r="N361" t="str">
        <f t="shared" si="12"/>
        <v/>
      </c>
    </row>
    <row r="362" spans="7:14" x14ac:dyDescent="0.4">
      <c r="G362" s="5"/>
      <c r="H362" s="5"/>
      <c r="I362" s="5"/>
      <c r="M362" t="str">
        <f t="shared" si="11"/>
        <v/>
      </c>
      <c r="N362" t="str">
        <f t="shared" si="12"/>
        <v/>
      </c>
    </row>
    <row r="363" spans="7:14" x14ac:dyDescent="0.4">
      <c r="G363" s="5"/>
      <c r="H363" s="5"/>
      <c r="I363" s="5"/>
      <c r="M363" t="str">
        <f t="shared" si="11"/>
        <v/>
      </c>
      <c r="N363" t="str">
        <f t="shared" si="12"/>
        <v/>
      </c>
    </row>
    <row r="364" spans="7:14" x14ac:dyDescent="0.4">
      <c r="G364" s="5"/>
      <c r="H364" s="5"/>
      <c r="I364" s="5"/>
      <c r="M364" t="str">
        <f t="shared" si="11"/>
        <v/>
      </c>
      <c r="N364" t="str">
        <f t="shared" si="12"/>
        <v/>
      </c>
    </row>
    <row r="365" spans="7:14" x14ac:dyDescent="0.4">
      <c r="G365" s="5"/>
      <c r="H365" s="5"/>
      <c r="I365" s="5"/>
      <c r="M365" t="str">
        <f t="shared" si="11"/>
        <v/>
      </c>
      <c r="N365" t="str">
        <f t="shared" si="12"/>
        <v/>
      </c>
    </row>
    <row r="366" spans="7:14" x14ac:dyDescent="0.4">
      <c r="G366" s="5"/>
      <c r="H366" s="5"/>
      <c r="I366" s="5"/>
      <c r="M366" t="str">
        <f t="shared" si="11"/>
        <v/>
      </c>
      <c r="N366" t="str">
        <f t="shared" si="12"/>
        <v/>
      </c>
    </row>
    <row r="367" spans="7:14" x14ac:dyDescent="0.4">
      <c r="G367" s="5"/>
      <c r="H367" s="5"/>
      <c r="I367" s="5"/>
      <c r="M367" t="str">
        <f t="shared" si="11"/>
        <v/>
      </c>
      <c r="N367" t="str">
        <f t="shared" si="12"/>
        <v/>
      </c>
    </row>
    <row r="368" spans="7:14" x14ac:dyDescent="0.4">
      <c r="G368" s="5"/>
      <c r="H368" s="5"/>
      <c r="I368" s="5"/>
      <c r="M368" t="str">
        <f t="shared" si="11"/>
        <v/>
      </c>
      <c r="N368" t="str">
        <f t="shared" si="12"/>
        <v/>
      </c>
    </row>
    <row r="369" spans="7:14" x14ac:dyDescent="0.4">
      <c r="G369" s="5"/>
      <c r="H369" s="5"/>
      <c r="I369" s="5"/>
      <c r="M369" t="str">
        <f t="shared" si="11"/>
        <v/>
      </c>
      <c r="N369" t="str">
        <f t="shared" si="12"/>
        <v/>
      </c>
    </row>
    <row r="370" spans="7:14" x14ac:dyDescent="0.4">
      <c r="G370" s="5"/>
      <c r="H370" s="5"/>
      <c r="I370" s="5"/>
      <c r="M370" t="str">
        <f t="shared" si="11"/>
        <v/>
      </c>
      <c r="N370" t="str">
        <f t="shared" si="12"/>
        <v/>
      </c>
    </row>
    <row r="371" spans="7:14" x14ac:dyDescent="0.4">
      <c r="G371" s="5"/>
      <c r="H371" s="5"/>
      <c r="I371" s="5"/>
      <c r="M371" t="str">
        <f t="shared" si="11"/>
        <v/>
      </c>
      <c r="N371" t="str">
        <f t="shared" si="12"/>
        <v/>
      </c>
    </row>
    <row r="372" spans="7:14" x14ac:dyDescent="0.4">
      <c r="G372" s="5"/>
      <c r="H372" s="5"/>
      <c r="I372" s="5"/>
      <c r="M372" t="str">
        <f t="shared" si="11"/>
        <v/>
      </c>
      <c r="N372" t="str">
        <f t="shared" si="12"/>
        <v/>
      </c>
    </row>
    <row r="373" spans="7:14" x14ac:dyDescent="0.4">
      <c r="G373" s="5"/>
      <c r="H373" s="5"/>
      <c r="I373" s="5"/>
      <c r="M373" t="str">
        <f t="shared" si="11"/>
        <v/>
      </c>
      <c r="N373" t="str">
        <f t="shared" si="12"/>
        <v/>
      </c>
    </row>
    <row r="374" spans="7:14" x14ac:dyDescent="0.4">
      <c r="G374" s="5"/>
      <c r="H374" s="5"/>
      <c r="I374" s="5"/>
      <c r="M374" t="str">
        <f t="shared" si="11"/>
        <v/>
      </c>
      <c r="N374" t="str">
        <f t="shared" si="12"/>
        <v/>
      </c>
    </row>
    <row r="375" spans="7:14" x14ac:dyDescent="0.4">
      <c r="G375" s="5"/>
      <c r="H375" s="5"/>
      <c r="I375" s="5"/>
      <c r="M375" t="str">
        <f t="shared" si="11"/>
        <v/>
      </c>
      <c r="N375" t="str">
        <f t="shared" si="12"/>
        <v/>
      </c>
    </row>
    <row r="376" spans="7:14" x14ac:dyDescent="0.4">
      <c r="G376" s="5"/>
      <c r="H376" s="5"/>
      <c r="I376" s="5"/>
      <c r="M376" t="str">
        <f t="shared" si="11"/>
        <v/>
      </c>
      <c r="N376" t="str">
        <f t="shared" si="12"/>
        <v/>
      </c>
    </row>
    <row r="377" spans="7:14" x14ac:dyDescent="0.4">
      <c r="G377" s="5"/>
      <c r="H377" s="5"/>
      <c r="I377" s="5"/>
      <c r="M377" t="str">
        <f t="shared" si="11"/>
        <v/>
      </c>
      <c r="N377" t="str">
        <f t="shared" si="12"/>
        <v/>
      </c>
    </row>
    <row r="378" spans="7:14" x14ac:dyDescent="0.4">
      <c r="G378" s="5"/>
      <c r="H378" s="5"/>
      <c r="I378" s="5"/>
      <c r="M378" t="str">
        <f t="shared" si="11"/>
        <v/>
      </c>
      <c r="N378" t="str">
        <f t="shared" si="12"/>
        <v/>
      </c>
    </row>
    <row r="379" spans="7:14" x14ac:dyDescent="0.4">
      <c r="G379" s="5"/>
      <c r="H379" s="5"/>
      <c r="I379" s="5"/>
      <c r="M379" t="str">
        <f t="shared" si="11"/>
        <v/>
      </c>
      <c r="N379" t="str">
        <f t="shared" si="12"/>
        <v/>
      </c>
    </row>
    <row r="380" spans="7:14" x14ac:dyDescent="0.4">
      <c r="G380" s="5"/>
      <c r="H380" s="5"/>
      <c r="I380" s="5"/>
      <c r="M380" t="str">
        <f t="shared" si="11"/>
        <v/>
      </c>
      <c r="N380" t="str">
        <f t="shared" si="12"/>
        <v/>
      </c>
    </row>
    <row r="381" spans="7:14" x14ac:dyDescent="0.4">
      <c r="G381" s="5"/>
      <c r="H381" s="5"/>
      <c r="I381" s="5"/>
      <c r="M381" t="str">
        <f t="shared" si="11"/>
        <v/>
      </c>
      <c r="N381" t="str">
        <f t="shared" si="12"/>
        <v/>
      </c>
    </row>
    <row r="382" spans="7:14" x14ac:dyDescent="0.4">
      <c r="G382" s="5"/>
      <c r="H382" s="5"/>
      <c r="I382" s="5"/>
      <c r="M382" t="str">
        <f t="shared" si="11"/>
        <v/>
      </c>
      <c r="N382" t="str">
        <f t="shared" si="12"/>
        <v/>
      </c>
    </row>
    <row r="383" spans="7:14" x14ac:dyDescent="0.4">
      <c r="G383" s="5"/>
      <c r="H383" s="5"/>
      <c r="I383" s="5"/>
      <c r="M383" t="str">
        <f t="shared" si="11"/>
        <v/>
      </c>
      <c r="N383" t="str">
        <f t="shared" si="12"/>
        <v/>
      </c>
    </row>
    <row r="384" spans="7:14" x14ac:dyDescent="0.4">
      <c r="G384" s="5"/>
      <c r="H384" s="5"/>
      <c r="I384" s="5"/>
      <c r="M384" t="str">
        <f t="shared" si="11"/>
        <v/>
      </c>
      <c r="N384" t="str">
        <f t="shared" si="12"/>
        <v/>
      </c>
    </row>
    <row r="385" spans="7:14" x14ac:dyDescent="0.4">
      <c r="G385" s="5"/>
      <c r="H385" s="5"/>
      <c r="I385" s="5"/>
      <c r="M385" t="str">
        <f t="shared" si="11"/>
        <v/>
      </c>
      <c r="N385" t="str">
        <f t="shared" si="12"/>
        <v/>
      </c>
    </row>
    <row r="386" spans="7:14" x14ac:dyDescent="0.4">
      <c r="G386" s="5"/>
      <c r="H386" s="5"/>
      <c r="I386" s="5"/>
      <c r="M386" t="str">
        <f t="shared" si="11"/>
        <v/>
      </c>
      <c r="N386" t="str">
        <f t="shared" si="12"/>
        <v/>
      </c>
    </row>
    <row r="387" spans="7:14" x14ac:dyDescent="0.4">
      <c r="G387" s="5"/>
      <c r="H387" s="5"/>
      <c r="I387" s="5"/>
      <c r="M387" t="str">
        <f t="shared" si="11"/>
        <v/>
      </c>
      <c r="N387" t="str">
        <f t="shared" si="12"/>
        <v/>
      </c>
    </row>
    <row r="388" spans="7:14" x14ac:dyDescent="0.4">
      <c r="G388" s="5"/>
      <c r="H388" s="5"/>
      <c r="I388" s="5"/>
      <c r="M388" t="str">
        <f t="shared" ref="M388:M451" si="13">IF(A388="","",MONTH(A388))</f>
        <v/>
      </c>
      <c r="N388" t="str">
        <f t="shared" ref="N388:N451" si="14">IF(A388="","","Q"&amp;ROUNDUP(MONTH(A388)/3,0))</f>
        <v/>
      </c>
    </row>
    <row r="389" spans="7:14" x14ac:dyDescent="0.4">
      <c r="G389" s="5"/>
      <c r="H389" s="5"/>
      <c r="I389" s="5"/>
      <c r="M389" t="str">
        <f t="shared" si="13"/>
        <v/>
      </c>
      <c r="N389" t="str">
        <f t="shared" si="14"/>
        <v/>
      </c>
    </row>
    <row r="390" spans="7:14" x14ac:dyDescent="0.4">
      <c r="G390" s="5"/>
      <c r="H390" s="5"/>
      <c r="I390" s="5"/>
      <c r="M390" t="str">
        <f t="shared" si="13"/>
        <v/>
      </c>
      <c r="N390" t="str">
        <f t="shared" si="14"/>
        <v/>
      </c>
    </row>
    <row r="391" spans="7:14" x14ac:dyDescent="0.4">
      <c r="G391" s="5"/>
      <c r="H391" s="5"/>
      <c r="I391" s="5"/>
      <c r="M391" t="str">
        <f t="shared" si="13"/>
        <v/>
      </c>
      <c r="N391" t="str">
        <f t="shared" si="14"/>
        <v/>
      </c>
    </row>
    <row r="392" spans="7:14" x14ac:dyDescent="0.4">
      <c r="G392" s="5"/>
      <c r="H392" s="5"/>
      <c r="I392" s="5"/>
      <c r="M392" t="str">
        <f t="shared" si="13"/>
        <v/>
      </c>
      <c r="N392" t="str">
        <f t="shared" si="14"/>
        <v/>
      </c>
    </row>
    <row r="393" spans="7:14" x14ac:dyDescent="0.4">
      <c r="G393" s="5"/>
      <c r="H393" s="5"/>
      <c r="I393" s="5"/>
      <c r="M393" t="str">
        <f t="shared" si="13"/>
        <v/>
      </c>
      <c r="N393" t="str">
        <f t="shared" si="14"/>
        <v/>
      </c>
    </row>
    <row r="394" spans="7:14" x14ac:dyDescent="0.4">
      <c r="G394" s="5"/>
      <c r="H394" s="5"/>
      <c r="I394" s="5"/>
      <c r="M394" t="str">
        <f t="shared" si="13"/>
        <v/>
      </c>
      <c r="N394" t="str">
        <f t="shared" si="14"/>
        <v/>
      </c>
    </row>
    <row r="395" spans="7:14" x14ac:dyDescent="0.4">
      <c r="G395" s="5"/>
      <c r="H395" s="5"/>
      <c r="I395" s="5"/>
      <c r="M395" t="str">
        <f t="shared" si="13"/>
        <v/>
      </c>
      <c r="N395" t="str">
        <f t="shared" si="14"/>
        <v/>
      </c>
    </row>
    <row r="396" spans="7:14" x14ac:dyDescent="0.4">
      <c r="G396" s="5"/>
      <c r="H396" s="5"/>
      <c r="I396" s="5"/>
      <c r="M396" t="str">
        <f t="shared" si="13"/>
        <v/>
      </c>
      <c r="N396" t="str">
        <f t="shared" si="14"/>
        <v/>
      </c>
    </row>
    <row r="397" spans="7:14" x14ac:dyDescent="0.4">
      <c r="G397" s="5"/>
      <c r="H397" s="5"/>
      <c r="I397" s="5"/>
      <c r="M397" t="str">
        <f t="shared" si="13"/>
        <v/>
      </c>
      <c r="N397" t="str">
        <f t="shared" si="14"/>
        <v/>
      </c>
    </row>
    <row r="398" spans="7:14" x14ac:dyDescent="0.4">
      <c r="G398" s="5"/>
      <c r="H398" s="5"/>
      <c r="I398" s="5"/>
      <c r="M398" t="str">
        <f t="shared" si="13"/>
        <v/>
      </c>
      <c r="N398" t="str">
        <f t="shared" si="14"/>
        <v/>
      </c>
    </row>
    <row r="399" spans="7:14" x14ac:dyDescent="0.4">
      <c r="G399" s="5"/>
      <c r="H399" s="5"/>
      <c r="I399" s="5"/>
      <c r="M399" t="str">
        <f t="shared" si="13"/>
        <v/>
      </c>
      <c r="N399" t="str">
        <f t="shared" si="14"/>
        <v/>
      </c>
    </row>
    <row r="400" spans="7:14" x14ac:dyDescent="0.4">
      <c r="G400" s="5"/>
      <c r="H400" s="5"/>
      <c r="I400" s="5"/>
      <c r="M400" t="str">
        <f t="shared" si="13"/>
        <v/>
      </c>
      <c r="N400" t="str">
        <f t="shared" si="14"/>
        <v/>
      </c>
    </row>
    <row r="401" spans="7:14" x14ac:dyDescent="0.4">
      <c r="G401" s="5"/>
      <c r="H401" s="5"/>
      <c r="I401" s="5"/>
      <c r="M401" t="str">
        <f t="shared" si="13"/>
        <v/>
      </c>
      <c r="N401" t="str">
        <f t="shared" si="14"/>
        <v/>
      </c>
    </row>
    <row r="402" spans="7:14" x14ac:dyDescent="0.4">
      <c r="G402" s="5"/>
      <c r="H402" s="5"/>
      <c r="I402" s="5"/>
      <c r="M402" t="str">
        <f t="shared" si="13"/>
        <v/>
      </c>
      <c r="N402" t="str">
        <f t="shared" si="14"/>
        <v/>
      </c>
    </row>
    <row r="403" spans="7:14" x14ac:dyDescent="0.4">
      <c r="G403" s="5"/>
      <c r="H403" s="5"/>
      <c r="I403" s="5"/>
      <c r="M403" t="str">
        <f t="shared" si="13"/>
        <v/>
      </c>
      <c r="N403" t="str">
        <f t="shared" si="14"/>
        <v/>
      </c>
    </row>
    <row r="404" spans="7:14" x14ac:dyDescent="0.4">
      <c r="G404" s="5"/>
      <c r="H404" s="5"/>
      <c r="I404" s="5"/>
      <c r="M404" t="str">
        <f t="shared" si="13"/>
        <v/>
      </c>
      <c r="N404" t="str">
        <f t="shared" si="14"/>
        <v/>
      </c>
    </row>
    <row r="405" spans="7:14" x14ac:dyDescent="0.4">
      <c r="G405" s="5"/>
      <c r="H405" s="5"/>
      <c r="I405" s="5"/>
      <c r="M405" t="str">
        <f t="shared" si="13"/>
        <v/>
      </c>
      <c r="N405" t="str">
        <f t="shared" si="14"/>
        <v/>
      </c>
    </row>
    <row r="406" spans="7:14" x14ac:dyDescent="0.4">
      <c r="G406" s="5"/>
      <c r="H406" s="5"/>
      <c r="I406" s="5"/>
      <c r="M406" t="str">
        <f t="shared" si="13"/>
        <v/>
      </c>
      <c r="N406" t="str">
        <f t="shared" si="14"/>
        <v/>
      </c>
    </row>
    <row r="407" spans="7:14" x14ac:dyDescent="0.4">
      <c r="G407" s="5"/>
      <c r="H407" s="5"/>
      <c r="I407" s="5"/>
      <c r="M407" t="str">
        <f t="shared" si="13"/>
        <v/>
      </c>
      <c r="N407" t="str">
        <f t="shared" si="14"/>
        <v/>
      </c>
    </row>
    <row r="408" spans="7:14" x14ac:dyDescent="0.4">
      <c r="G408" s="5"/>
      <c r="H408" s="5"/>
      <c r="I408" s="5"/>
      <c r="M408" t="str">
        <f t="shared" si="13"/>
        <v/>
      </c>
      <c r="N408" t="str">
        <f t="shared" si="14"/>
        <v/>
      </c>
    </row>
    <row r="409" spans="7:14" x14ac:dyDescent="0.4">
      <c r="G409" s="5"/>
      <c r="H409" s="5"/>
      <c r="I409" s="5"/>
      <c r="M409" t="str">
        <f t="shared" si="13"/>
        <v/>
      </c>
      <c r="N409" t="str">
        <f t="shared" si="14"/>
        <v/>
      </c>
    </row>
    <row r="410" spans="7:14" x14ac:dyDescent="0.4">
      <c r="G410" s="5"/>
      <c r="H410" s="5"/>
      <c r="I410" s="5"/>
      <c r="M410" t="str">
        <f t="shared" si="13"/>
        <v/>
      </c>
      <c r="N410" t="str">
        <f t="shared" si="14"/>
        <v/>
      </c>
    </row>
    <row r="411" spans="7:14" x14ac:dyDescent="0.4">
      <c r="G411" s="5"/>
      <c r="H411" s="5"/>
      <c r="I411" s="5"/>
      <c r="M411" t="str">
        <f t="shared" si="13"/>
        <v/>
      </c>
      <c r="N411" t="str">
        <f t="shared" si="14"/>
        <v/>
      </c>
    </row>
    <row r="412" spans="7:14" x14ac:dyDescent="0.4">
      <c r="G412" s="5"/>
      <c r="H412" s="5"/>
      <c r="I412" s="5"/>
      <c r="M412" t="str">
        <f t="shared" si="13"/>
        <v/>
      </c>
      <c r="N412" t="str">
        <f t="shared" si="14"/>
        <v/>
      </c>
    </row>
    <row r="413" spans="7:14" x14ac:dyDescent="0.4">
      <c r="G413" s="5"/>
      <c r="H413" s="5"/>
      <c r="I413" s="5"/>
      <c r="M413" t="str">
        <f t="shared" si="13"/>
        <v/>
      </c>
      <c r="N413" t="str">
        <f t="shared" si="14"/>
        <v/>
      </c>
    </row>
    <row r="414" spans="7:14" x14ac:dyDescent="0.4">
      <c r="G414" s="5"/>
      <c r="H414" s="5"/>
      <c r="I414" s="5"/>
      <c r="M414" t="str">
        <f t="shared" si="13"/>
        <v/>
      </c>
      <c r="N414" t="str">
        <f t="shared" si="14"/>
        <v/>
      </c>
    </row>
    <row r="415" spans="7:14" x14ac:dyDescent="0.4">
      <c r="G415" s="5"/>
      <c r="H415" s="5"/>
      <c r="I415" s="5"/>
      <c r="M415" t="str">
        <f t="shared" si="13"/>
        <v/>
      </c>
      <c r="N415" t="str">
        <f t="shared" si="14"/>
        <v/>
      </c>
    </row>
    <row r="416" spans="7:14" x14ac:dyDescent="0.4">
      <c r="G416" s="5"/>
      <c r="H416" s="5"/>
      <c r="I416" s="5"/>
      <c r="M416" t="str">
        <f t="shared" si="13"/>
        <v/>
      </c>
      <c r="N416" t="str">
        <f t="shared" si="14"/>
        <v/>
      </c>
    </row>
    <row r="417" spans="7:14" x14ac:dyDescent="0.4">
      <c r="G417" s="5"/>
      <c r="H417" s="5"/>
      <c r="I417" s="5"/>
      <c r="M417" t="str">
        <f t="shared" si="13"/>
        <v/>
      </c>
      <c r="N417" t="str">
        <f t="shared" si="14"/>
        <v/>
      </c>
    </row>
    <row r="418" spans="7:14" x14ac:dyDescent="0.4">
      <c r="G418" s="5"/>
      <c r="H418" s="5"/>
      <c r="I418" s="5"/>
      <c r="M418" t="str">
        <f t="shared" si="13"/>
        <v/>
      </c>
      <c r="N418" t="str">
        <f t="shared" si="14"/>
        <v/>
      </c>
    </row>
    <row r="419" spans="7:14" x14ac:dyDescent="0.4">
      <c r="G419" s="5"/>
      <c r="H419" s="5"/>
      <c r="I419" s="5"/>
      <c r="M419" t="str">
        <f t="shared" si="13"/>
        <v/>
      </c>
      <c r="N419" t="str">
        <f t="shared" si="14"/>
        <v/>
      </c>
    </row>
    <row r="420" spans="7:14" x14ac:dyDescent="0.4">
      <c r="G420" s="5"/>
      <c r="H420" s="5"/>
      <c r="I420" s="5"/>
      <c r="M420" t="str">
        <f t="shared" si="13"/>
        <v/>
      </c>
      <c r="N420" t="str">
        <f t="shared" si="14"/>
        <v/>
      </c>
    </row>
    <row r="421" spans="7:14" x14ac:dyDescent="0.4">
      <c r="G421" s="5"/>
      <c r="H421" s="5"/>
      <c r="I421" s="5"/>
      <c r="M421" t="str">
        <f t="shared" si="13"/>
        <v/>
      </c>
      <c r="N421" t="str">
        <f t="shared" si="14"/>
        <v/>
      </c>
    </row>
    <row r="422" spans="7:14" x14ac:dyDescent="0.4">
      <c r="G422" s="5"/>
      <c r="H422" s="5"/>
      <c r="I422" s="5"/>
      <c r="M422" t="str">
        <f t="shared" si="13"/>
        <v/>
      </c>
      <c r="N422" t="str">
        <f t="shared" si="14"/>
        <v/>
      </c>
    </row>
    <row r="423" spans="7:14" x14ac:dyDescent="0.4">
      <c r="G423" s="5"/>
      <c r="H423" s="5"/>
      <c r="I423" s="5"/>
      <c r="M423" t="str">
        <f t="shared" si="13"/>
        <v/>
      </c>
      <c r="N423" t="str">
        <f t="shared" si="14"/>
        <v/>
      </c>
    </row>
    <row r="424" spans="7:14" x14ac:dyDescent="0.4">
      <c r="G424" s="5"/>
      <c r="H424" s="5"/>
      <c r="I424" s="5"/>
      <c r="M424" t="str">
        <f t="shared" si="13"/>
        <v/>
      </c>
      <c r="N424" t="str">
        <f t="shared" si="14"/>
        <v/>
      </c>
    </row>
    <row r="425" spans="7:14" x14ac:dyDescent="0.4">
      <c r="G425" s="5"/>
      <c r="H425" s="5"/>
      <c r="I425" s="5"/>
      <c r="M425" t="str">
        <f t="shared" si="13"/>
        <v/>
      </c>
      <c r="N425" t="str">
        <f t="shared" si="14"/>
        <v/>
      </c>
    </row>
    <row r="426" spans="7:14" x14ac:dyDescent="0.4">
      <c r="G426" s="5"/>
      <c r="H426" s="5"/>
      <c r="I426" s="5"/>
      <c r="M426" t="str">
        <f t="shared" si="13"/>
        <v/>
      </c>
      <c r="N426" t="str">
        <f t="shared" si="14"/>
        <v/>
      </c>
    </row>
    <row r="427" spans="7:14" x14ac:dyDescent="0.4">
      <c r="G427" s="5"/>
      <c r="H427" s="5"/>
      <c r="I427" s="5"/>
      <c r="M427" t="str">
        <f t="shared" si="13"/>
        <v/>
      </c>
      <c r="N427" t="str">
        <f t="shared" si="14"/>
        <v/>
      </c>
    </row>
    <row r="428" spans="7:14" x14ac:dyDescent="0.4">
      <c r="G428" s="5"/>
      <c r="H428" s="5"/>
      <c r="I428" s="5"/>
      <c r="M428" t="str">
        <f t="shared" si="13"/>
        <v/>
      </c>
      <c r="N428" t="str">
        <f t="shared" si="14"/>
        <v/>
      </c>
    </row>
    <row r="429" spans="7:14" x14ac:dyDescent="0.4">
      <c r="G429" s="5"/>
      <c r="H429" s="5"/>
      <c r="I429" s="5"/>
      <c r="M429" t="str">
        <f t="shared" si="13"/>
        <v/>
      </c>
      <c r="N429" t="str">
        <f t="shared" si="14"/>
        <v/>
      </c>
    </row>
    <row r="430" spans="7:14" x14ac:dyDescent="0.4">
      <c r="G430" s="5"/>
      <c r="H430" s="5"/>
      <c r="I430" s="5"/>
      <c r="M430" t="str">
        <f t="shared" si="13"/>
        <v/>
      </c>
      <c r="N430" t="str">
        <f t="shared" si="14"/>
        <v/>
      </c>
    </row>
    <row r="431" spans="7:14" x14ac:dyDescent="0.4">
      <c r="G431" s="5"/>
      <c r="H431" s="5"/>
      <c r="I431" s="5"/>
      <c r="M431" t="str">
        <f t="shared" si="13"/>
        <v/>
      </c>
      <c r="N431" t="str">
        <f t="shared" si="14"/>
        <v/>
      </c>
    </row>
    <row r="432" spans="7:14" x14ac:dyDescent="0.4">
      <c r="G432" s="5"/>
      <c r="H432" s="5"/>
      <c r="I432" s="5"/>
      <c r="M432" t="str">
        <f t="shared" si="13"/>
        <v/>
      </c>
      <c r="N432" t="str">
        <f t="shared" si="14"/>
        <v/>
      </c>
    </row>
    <row r="433" spans="7:14" x14ac:dyDescent="0.4">
      <c r="G433" s="5"/>
      <c r="H433" s="5"/>
      <c r="I433" s="5"/>
      <c r="M433" t="str">
        <f t="shared" si="13"/>
        <v/>
      </c>
      <c r="N433" t="str">
        <f t="shared" si="14"/>
        <v/>
      </c>
    </row>
    <row r="434" spans="7:14" x14ac:dyDescent="0.4">
      <c r="G434" s="5"/>
      <c r="H434" s="5"/>
      <c r="I434" s="5"/>
      <c r="M434" t="str">
        <f t="shared" si="13"/>
        <v/>
      </c>
      <c r="N434" t="str">
        <f t="shared" si="14"/>
        <v/>
      </c>
    </row>
    <row r="435" spans="7:14" x14ac:dyDescent="0.4">
      <c r="G435" s="5"/>
      <c r="H435" s="5"/>
      <c r="I435" s="5"/>
      <c r="M435" t="str">
        <f t="shared" si="13"/>
        <v/>
      </c>
      <c r="N435" t="str">
        <f t="shared" si="14"/>
        <v/>
      </c>
    </row>
    <row r="436" spans="7:14" x14ac:dyDescent="0.4">
      <c r="G436" s="5"/>
      <c r="H436" s="5"/>
      <c r="I436" s="5"/>
      <c r="M436" t="str">
        <f t="shared" si="13"/>
        <v/>
      </c>
      <c r="N436" t="str">
        <f t="shared" si="14"/>
        <v/>
      </c>
    </row>
    <row r="437" spans="7:14" x14ac:dyDescent="0.4">
      <c r="G437" s="5"/>
      <c r="H437" s="5"/>
      <c r="I437" s="5"/>
      <c r="M437" t="str">
        <f t="shared" si="13"/>
        <v/>
      </c>
      <c r="N437" t="str">
        <f t="shared" si="14"/>
        <v/>
      </c>
    </row>
    <row r="438" spans="7:14" x14ac:dyDescent="0.4">
      <c r="G438" s="5"/>
      <c r="H438" s="5"/>
      <c r="I438" s="5"/>
      <c r="M438" t="str">
        <f t="shared" si="13"/>
        <v/>
      </c>
      <c r="N438" t="str">
        <f t="shared" si="14"/>
        <v/>
      </c>
    </row>
    <row r="439" spans="7:14" x14ac:dyDescent="0.4">
      <c r="G439" s="5"/>
      <c r="H439" s="5"/>
      <c r="I439" s="5"/>
      <c r="M439" t="str">
        <f t="shared" si="13"/>
        <v/>
      </c>
      <c r="N439" t="str">
        <f t="shared" si="14"/>
        <v/>
      </c>
    </row>
    <row r="440" spans="7:14" x14ac:dyDescent="0.4">
      <c r="G440" s="5"/>
      <c r="H440" s="5"/>
      <c r="I440" s="5"/>
      <c r="M440" t="str">
        <f t="shared" si="13"/>
        <v/>
      </c>
      <c r="N440" t="str">
        <f t="shared" si="14"/>
        <v/>
      </c>
    </row>
    <row r="441" spans="7:14" x14ac:dyDescent="0.4">
      <c r="G441" s="5"/>
      <c r="H441" s="5"/>
      <c r="I441" s="5"/>
      <c r="M441" t="str">
        <f t="shared" si="13"/>
        <v/>
      </c>
      <c r="N441" t="str">
        <f t="shared" si="14"/>
        <v/>
      </c>
    </row>
    <row r="442" spans="7:14" x14ac:dyDescent="0.4">
      <c r="G442" s="5"/>
      <c r="H442" s="5"/>
      <c r="I442" s="5"/>
      <c r="M442" t="str">
        <f t="shared" si="13"/>
        <v/>
      </c>
      <c r="N442" t="str">
        <f t="shared" si="14"/>
        <v/>
      </c>
    </row>
    <row r="443" spans="7:14" x14ac:dyDescent="0.4">
      <c r="G443" s="5"/>
      <c r="H443" s="5"/>
      <c r="I443" s="5"/>
      <c r="M443" t="str">
        <f t="shared" si="13"/>
        <v/>
      </c>
      <c r="N443" t="str">
        <f t="shared" si="14"/>
        <v/>
      </c>
    </row>
    <row r="444" spans="7:14" x14ac:dyDescent="0.4">
      <c r="G444" s="5"/>
      <c r="H444" s="5"/>
      <c r="I444" s="5"/>
      <c r="M444" t="str">
        <f t="shared" si="13"/>
        <v/>
      </c>
      <c r="N444" t="str">
        <f t="shared" si="14"/>
        <v/>
      </c>
    </row>
    <row r="445" spans="7:14" x14ac:dyDescent="0.4">
      <c r="G445" s="5"/>
      <c r="H445" s="5"/>
      <c r="I445" s="5"/>
      <c r="M445" t="str">
        <f t="shared" si="13"/>
        <v/>
      </c>
      <c r="N445" t="str">
        <f t="shared" si="14"/>
        <v/>
      </c>
    </row>
    <row r="446" spans="7:14" x14ac:dyDescent="0.4">
      <c r="G446" s="5"/>
      <c r="H446" s="5"/>
      <c r="I446" s="5"/>
      <c r="M446" t="str">
        <f t="shared" si="13"/>
        <v/>
      </c>
      <c r="N446" t="str">
        <f t="shared" si="14"/>
        <v/>
      </c>
    </row>
    <row r="447" spans="7:14" x14ac:dyDescent="0.4">
      <c r="G447" s="5"/>
      <c r="H447" s="5"/>
      <c r="I447" s="5"/>
      <c r="M447" t="str">
        <f t="shared" si="13"/>
        <v/>
      </c>
      <c r="N447" t="str">
        <f t="shared" si="14"/>
        <v/>
      </c>
    </row>
    <row r="448" spans="7:14" x14ac:dyDescent="0.4">
      <c r="G448" s="5"/>
      <c r="H448" s="5"/>
      <c r="I448" s="5"/>
      <c r="M448" t="str">
        <f t="shared" si="13"/>
        <v/>
      </c>
      <c r="N448" t="str">
        <f t="shared" si="14"/>
        <v/>
      </c>
    </row>
    <row r="449" spans="7:14" x14ac:dyDescent="0.4">
      <c r="G449" s="5"/>
      <c r="H449" s="5"/>
      <c r="I449" s="5"/>
      <c r="M449" t="str">
        <f t="shared" si="13"/>
        <v/>
      </c>
      <c r="N449" t="str">
        <f t="shared" si="14"/>
        <v/>
      </c>
    </row>
    <row r="450" spans="7:14" x14ac:dyDescent="0.4">
      <c r="G450" s="5"/>
      <c r="H450" s="5"/>
      <c r="I450" s="5"/>
      <c r="M450" t="str">
        <f t="shared" si="13"/>
        <v/>
      </c>
      <c r="N450" t="str">
        <f t="shared" si="14"/>
        <v/>
      </c>
    </row>
    <row r="451" spans="7:14" x14ac:dyDescent="0.4">
      <c r="G451" s="5"/>
      <c r="H451" s="5"/>
      <c r="I451" s="5"/>
      <c r="M451" t="str">
        <f t="shared" si="13"/>
        <v/>
      </c>
      <c r="N451" t="str">
        <f t="shared" si="14"/>
        <v/>
      </c>
    </row>
    <row r="452" spans="7:14" x14ac:dyDescent="0.4">
      <c r="G452" s="5"/>
      <c r="H452" s="5"/>
      <c r="I452" s="5"/>
      <c r="M452" t="str">
        <f t="shared" ref="M452:M499" si="15">IF(A452="","",MONTH(A452))</f>
        <v/>
      </c>
      <c r="N452" t="str">
        <f t="shared" ref="N452:N499" si="16">IF(A452="","","Q"&amp;ROUNDUP(MONTH(A452)/3,0))</f>
        <v/>
      </c>
    </row>
    <row r="453" spans="7:14" x14ac:dyDescent="0.4">
      <c r="G453" s="5"/>
      <c r="H453" s="5"/>
      <c r="I453" s="5"/>
      <c r="M453" t="str">
        <f t="shared" si="15"/>
        <v/>
      </c>
      <c r="N453" t="str">
        <f t="shared" si="16"/>
        <v/>
      </c>
    </row>
    <row r="454" spans="7:14" x14ac:dyDescent="0.4">
      <c r="G454" s="5"/>
      <c r="H454" s="5"/>
      <c r="I454" s="5"/>
      <c r="M454" t="str">
        <f t="shared" si="15"/>
        <v/>
      </c>
      <c r="N454" t="str">
        <f t="shared" si="16"/>
        <v/>
      </c>
    </row>
    <row r="455" spans="7:14" x14ac:dyDescent="0.4">
      <c r="G455" s="5"/>
      <c r="H455" s="5"/>
      <c r="I455" s="5"/>
      <c r="M455" t="str">
        <f t="shared" si="15"/>
        <v/>
      </c>
      <c r="N455" t="str">
        <f t="shared" si="16"/>
        <v/>
      </c>
    </row>
    <row r="456" spans="7:14" x14ac:dyDescent="0.4">
      <c r="G456" s="5"/>
      <c r="H456" s="5"/>
      <c r="I456" s="5"/>
      <c r="M456" t="str">
        <f t="shared" si="15"/>
        <v/>
      </c>
      <c r="N456" t="str">
        <f t="shared" si="16"/>
        <v/>
      </c>
    </row>
    <row r="457" spans="7:14" x14ac:dyDescent="0.4">
      <c r="G457" s="5"/>
      <c r="H457" s="5"/>
      <c r="I457" s="5"/>
      <c r="M457" t="str">
        <f t="shared" si="15"/>
        <v/>
      </c>
      <c r="N457" t="str">
        <f t="shared" si="16"/>
        <v/>
      </c>
    </row>
    <row r="458" spans="7:14" x14ac:dyDescent="0.4">
      <c r="G458" s="5"/>
      <c r="H458" s="5"/>
      <c r="I458" s="5"/>
      <c r="M458" t="str">
        <f t="shared" si="15"/>
        <v/>
      </c>
      <c r="N458" t="str">
        <f t="shared" si="16"/>
        <v/>
      </c>
    </row>
    <row r="459" spans="7:14" x14ac:dyDescent="0.4">
      <c r="G459" s="5"/>
      <c r="H459" s="5"/>
      <c r="I459" s="5"/>
      <c r="M459" t="str">
        <f t="shared" si="15"/>
        <v/>
      </c>
      <c r="N459" t="str">
        <f t="shared" si="16"/>
        <v/>
      </c>
    </row>
    <row r="460" spans="7:14" x14ac:dyDescent="0.4">
      <c r="G460" s="5"/>
      <c r="H460" s="5"/>
      <c r="I460" s="5"/>
      <c r="M460" t="str">
        <f t="shared" si="15"/>
        <v/>
      </c>
      <c r="N460" t="str">
        <f t="shared" si="16"/>
        <v/>
      </c>
    </row>
    <row r="461" spans="7:14" x14ac:dyDescent="0.4">
      <c r="G461" s="5"/>
      <c r="H461" s="5"/>
      <c r="I461" s="5"/>
      <c r="M461" t="str">
        <f t="shared" si="15"/>
        <v/>
      </c>
      <c r="N461" t="str">
        <f t="shared" si="16"/>
        <v/>
      </c>
    </row>
    <row r="462" spans="7:14" x14ac:dyDescent="0.4">
      <c r="G462" s="5"/>
      <c r="H462" s="5"/>
      <c r="I462" s="5"/>
      <c r="M462" t="str">
        <f t="shared" si="15"/>
        <v/>
      </c>
      <c r="N462" t="str">
        <f t="shared" si="16"/>
        <v/>
      </c>
    </row>
    <row r="463" spans="7:14" x14ac:dyDescent="0.4">
      <c r="G463" s="5"/>
      <c r="H463" s="5"/>
      <c r="I463" s="5"/>
      <c r="M463" t="str">
        <f t="shared" si="15"/>
        <v/>
      </c>
      <c r="N463" t="str">
        <f t="shared" si="16"/>
        <v/>
      </c>
    </row>
    <row r="464" spans="7:14" x14ac:dyDescent="0.4">
      <c r="G464" s="5"/>
      <c r="H464" s="5"/>
      <c r="I464" s="5"/>
      <c r="M464" t="str">
        <f t="shared" si="15"/>
        <v/>
      </c>
      <c r="N464" t="str">
        <f t="shared" si="16"/>
        <v/>
      </c>
    </row>
    <row r="465" spans="7:14" x14ac:dyDescent="0.4">
      <c r="G465" s="5"/>
      <c r="H465" s="5"/>
      <c r="I465" s="5"/>
      <c r="M465" t="str">
        <f t="shared" si="15"/>
        <v/>
      </c>
      <c r="N465" t="str">
        <f t="shared" si="16"/>
        <v/>
      </c>
    </row>
    <row r="466" spans="7:14" x14ac:dyDescent="0.4">
      <c r="G466" s="5"/>
      <c r="H466" s="5"/>
      <c r="I466" s="5"/>
      <c r="M466" t="str">
        <f t="shared" si="15"/>
        <v/>
      </c>
      <c r="N466" t="str">
        <f t="shared" si="16"/>
        <v/>
      </c>
    </row>
    <row r="467" spans="7:14" x14ac:dyDescent="0.4">
      <c r="G467" s="5"/>
      <c r="H467" s="5"/>
      <c r="I467" s="5"/>
      <c r="M467" t="str">
        <f t="shared" si="15"/>
        <v/>
      </c>
      <c r="N467" t="str">
        <f t="shared" si="16"/>
        <v/>
      </c>
    </row>
    <row r="468" spans="7:14" x14ac:dyDescent="0.4">
      <c r="G468" s="5"/>
      <c r="H468" s="5"/>
      <c r="I468" s="5"/>
      <c r="M468" t="str">
        <f t="shared" si="15"/>
        <v/>
      </c>
      <c r="N468" t="str">
        <f t="shared" si="16"/>
        <v/>
      </c>
    </row>
    <row r="469" spans="7:14" x14ac:dyDescent="0.4">
      <c r="G469" s="5"/>
      <c r="H469" s="5"/>
      <c r="I469" s="5"/>
      <c r="M469" t="str">
        <f t="shared" si="15"/>
        <v/>
      </c>
      <c r="N469" t="str">
        <f t="shared" si="16"/>
        <v/>
      </c>
    </row>
    <row r="470" spans="7:14" x14ac:dyDescent="0.4">
      <c r="G470" s="5"/>
      <c r="H470" s="5"/>
      <c r="I470" s="5"/>
      <c r="M470" t="str">
        <f t="shared" si="15"/>
        <v/>
      </c>
      <c r="N470" t="str">
        <f t="shared" si="16"/>
        <v/>
      </c>
    </row>
    <row r="471" spans="7:14" x14ac:dyDescent="0.4">
      <c r="G471" s="5"/>
      <c r="H471" s="5"/>
      <c r="I471" s="5"/>
      <c r="M471" t="str">
        <f t="shared" si="15"/>
        <v/>
      </c>
      <c r="N471" t="str">
        <f t="shared" si="16"/>
        <v/>
      </c>
    </row>
    <row r="472" spans="7:14" x14ac:dyDescent="0.4">
      <c r="G472" s="5"/>
      <c r="H472" s="5"/>
      <c r="I472" s="5"/>
      <c r="M472" t="str">
        <f t="shared" si="15"/>
        <v/>
      </c>
      <c r="N472" t="str">
        <f t="shared" si="16"/>
        <v/>
      </c>
    </row>
    <row r="473" spans="7:14" x14ac:dyDescent="0.4">
      <c r="G473" s="5"/>
      <c r="H473" s="5"/>
      <c r="I473" s="5"/>
      <c r="M473" t="str">
        <f t="shared" si="15"/>
        <v/>
      </c>
      <c r="N473" t="str">
        <f t="shared" si="16"/>
        <v/>
      </c>
    </row>
    <row r="474" spans="7:14" x14ac:dyDescent="0.4">
      <c r="G474" s="5"/>
      <c r="H474" s="5"/>
      <c r="I474" s="5"/>
      <c r="M474" t="str">
        <f t="shared" si="15"/>
        <v/>
      </c>
      <c r="N474" t="str">
        <f t="shared" si="16"/>
        <v/>
      </c>
    </row>
    <row r="475" spans="7:14" x14ac:dyDescent="0.4">
      <c r="G475" s="5"/>
      <c r="H475" s="5"/>
      <c r="I475" s="5"/>
      <c r="M475" t="str">
        <f t="shared" si="15"/>
        <v/>
      </c>
      <c r="N475" t="str">
        <f t="shared" si="16"/>
        <v/>
      </c>
    </row>
    <row r="476" spans="7:14" x14ac:dyDescent="0.4">
      <c r="G476" s="5"/>
      <c r="H476" s="5"/>
      <c r="I476" s="5"/>
      <c r="M476" t="str">
        <f t="shared" si="15"/>
        <v/>
      </c>
      <c r="N476" t="str">
        <f t="shared" si="16"/>
        <v/>
      </c>
    </row>
    <row r="477" spans="7:14" x14ac:dyDescent="0.4">
      <c r="G477" s="5"/>
      <c r="H477" s="5"/>
      <c r="I477" s="5"/>
      <c r="M477" t="str">
        <f t="shared" si="15"/>
        <v/>
      </c>
      <c r="N477" t="str">
        <f t="shared" si="16"/>
        <v/>
      </c>
    </row>
    <row r="478" spans="7:14" x14ac:dyDescent="0.4">
      <c r="G478" s="5"/>
      <c r="H478" s="5"/>
      <c r="I478" s="5"/>
      <c r="M478" t="str">
        <f t="shared" si="15"/>
        <v/>
      </c>
      <c r="N478" t="str">
        <f t="shared" si="16"/>
        <v/>
      </c>
    </row>
    <row r="479" spans="7:14" x14ac:dyDescent="0.4">
      <c r="G479" s="5"/>
      <c r="H479" s="5"/>
      <c r="I479" s="5"/>
      <c r="M479" t="str">
        <f t="shared" si="15"/>
        <v/>
      </c>
      <c r="N479" t="str">
        <f t="shared" si="16"/>
        <v/>
      </c>
    </row>
    <row r="480" spans="7:14" x14ac:dyDescent="0.4">
      <c r="G480" s="5"/>
      <c r="H480" s="5"/>
      <c r="I480" s="5"/>
      <c r="M480" t="str">
        <f t="shared" si="15"/>
        <v/>
      </c>
      <c r="N480" t="str">
        <f t="shared" si="16"/>
        <v/>
      </c>
    </row>
    <row r="481" spans="7:14" x14ac:dyDescent="0.4">
      <c r="G481" s="5"/>
      <c r="H481" s="5"/>
      <c r="I481" s="5"/>
      <c r="M481" t="str">
        <f t="shared" si="15"/>
        <v/>
      </c>
      <c r="N481" t="str">
        <f t="shared" si="16"/>
        <v/>
      </c>
    </row>
    <row r="482" spans="7:14" x14ac:dyDescent="0.4">
      <c r="G482" s="5"/>
      <c r="H482" s="5"/>
      <c r="I482" s="5"/>
      <c r="M482" t="str">
        <f t="shared" si="15"/>
        <v/>
      </c>
      <c r="N482" t="str">
        <f t="shared" si="16"/>
        <v/>
      </c>
    </row>
    <row r="483" spans="7:14" x14ac:dyDescent="0.4">
      <c r="G483" s="5"/>
      <c r="H483" s="5"/>
      <c r="I483" s="5"/>
      <c r="M483" t="str">
        <f t="shared" si="15"/>
        <v/>
      </c>
      <c r="N483" t="str">
        <f t="shared" si="16"/>
        <v/>
      </c>
    </row>
    <row r="484" spans="7:14" x14ac:dyDescent="0.4">
      <c r="G484" s="5"/>
      <c r="H484" s="5"/>
      <c r="I484" s="5"/>
      <c r="M484" t="str">
        <f t="shared" si="15"/>
        <v/>
      </c>
      <c r="N484" t="str">
        <f t="shared" si="16"/>
        <v/>
      </c>
    </row>
    <row r="485" spans="7:14" x14ac:dyDescent="0.4">
      <c r="G485" s="5"/>
      <c r="H485" s="5"/>
      <c r="I485" s="5"/>
      <c r="M485" t="str">
        <f t="shared" si="15"/>
        <v/>
      </c>
      <c r="N485" t="str">
        <f t="shared" si="16"/>
        <v/>
      </c>
    </row>
    <row r="486" spans="7:14" x14ac:dyDescent="0.4">
      <c r="G486" s="5"/>
      <c r="H486" s="5"/>
      <c r="I486" s="5"/>
      <c r="M486" t="str">
        <f t="shared" si="15"/>
        <v/>
      </c>
      <c r="N486" t="str">
        <f t="shared" si="16"/>
        <v/>
      </c>
    </row>
    <row r="487" spans="7:14" x14ac:dyDescent="0.4">
      <c r="G487" s="5"/>
      <c r="H487" s="5"/>
      <c r="I487" s="5"/>
      <c r="M487" t="str">
        <f t="shared" si="15"/>
        <v/>
      </c>
      <c r="N487" t="str">
        <f t="shared" si="16"/>
        <v/>
      </c>
    </row>
    <row r="488" spans="7:14" x14ac:dyDescent="0.4">
      <c r="G488" s="5"/>
      <c r="H488" s="5"/>
      <c r="I488" s="5"/>
      <c r="M488" t="str">
        <f t="shared" si="15"/>
        <v/>
      </c>
      <c r="N488" t="str">
        <f t="shared" si="16"/>
        <v/>
      </c>
    </row>
    <row r="489" spans="7:14" x14ac:dyDescent="0.4">
      <c r="G489" s="5"/>
      <c r="H489" s="5"/>
      <c r="I489" s="5"/>
      <c r="M489" t="str">
        <f t="shared" si="15"/>
        <v/>
      </c>
      <c r="N489" t="str">
        <f t="shared" si="16"/>
        <v/>
      </c>
    </row>
    <row r="490" spans="7:14" x14ac:dyDescent="0.4">
      <c r="G490" s="5"/>
      <c r="H490" s="5"/>
      <c r="I490" s="5"/>
      <c r="M490" t="str">
        <f t="shared" si="15"/>
        <v/>
      </c>
      <c r="N490" t="str">
        <f t="shared" si="16"/>
        <v/>
      </c>
    </row>
    <row r="491" spans="7:14" x14ac:dyDescent="0.4">
      <c r="G491" s="5"/>
      <c r="H491" s="5"/>
      <c r="I491" s="5"/>
      <c r="M491" t="str">
        <f t="shared" si="15"/>
        <v/>
      </c>
      <c r="N491" t="str">
        <f t="shared" si="16"/>
        <v/>
      </c>
    </row>
    <row r="492" spans="7:14" x14ac:dyDescent="0.4">
      <c r="G492" s="5"/>
      <c r="H492" s="5"/>
      <c r="I492" s="5"/>
      <c r="M492" t="str">
        <f t="shared" si="15"/>
        <v/>
      </c>
      <c r="N492" t="str">
        <f t="shared" si="16"/>
        <v/>
      </c>
    </row>
    <row r="493" spans="7:14" x14ac:dyDescent="0.4">
      <c r="G493" s="5"/>
      <c r="H493" s="5"/>
      <c r="I493" s="5"/>
      <c r="M493" t="str">
        <f t="shared" si="15"/>
        <v/>
      </c>
      <c r="N493" t="str">
        <f t="shared" si="16"/>
        <v/>
      </c>
    </row>
    <row r="494" spans="7:14" x14ac:dyDescent="0.4">
      <c r="G494" s="5"/>
      <c r="H494" s="5"/>
      <c r="I494" s="5"/>
      <c r="M494" t="str">
        <f t="shared" si="15"/>
        <v/>
      </c>
      <c r="N494" t="str">
        <f t="shared" si="16"/>
        <v/>
      </c>
    </row>
    <row r="495" spans="7:14" x14ac:dyDescent="0.4">
      <c r="G495" s="5"/>
      <c r="H495" s="5"/>
      <c r="I495" s="5"/>
      <c r="M495" t="str">
        <f t="shared" si="15"/>
        <v/>
      </c>
      <c r="N495" t="str">
        <f t="shared" si="16"/>
        <v/>
      </c>
    </row>
    <row r="496" spans="7:14" x14ac:dyDescent="0.4">
      <c r="G496" s="5"/>
      <c r="H496" s="5"/>
      <c r="I496" s="5"/>
      <c r="M496" t="str">
        <f t="shared" si="15"/>
        <v/>
      </c>
      <c r="N496" t="str">
        <f t="shared" si="16"/>
        <v/>
      </c>
    </row>
    <row r="497" spans="7:14" x14ac:dyDescent="0.4">
      <c r="G497" s="5"/>
      <c r="H497" s="5"/>
      <c r="I497" s="5"/>
      <c r="M497" t="str">
        <f t="shared" si="15"/>
        <v/>
      </c>
      <c r="N497" t="str">
        <f t="shared" si="16"/>
        <v/>
      </c>
    </row>
    <row r="498" spans="7:14" x14ac:dyDescent="0.4">
      <c r="G498" s="5"/>
      <c r="H498" s="5"/>
      <c r="I498" s="5"/>
      <c r="M498" t="str">
        <f t="shared" si="15"/>
        <v/>
      </c>
      <c r="N498" t="str">
        <f t="shared" si="16"/>
        <v/>
      </c>
    </row>
    <row r="499" spans="7:14" x14ac:dyDescent="0.4">
      <c r="G499" s="5"/>
      <c r="H499" s="5"/>
      <c r="I499" s="5"/>
      <c r="M499" t="str">
        <f t="shared" si="15"/>
        <v/>
      </c>
      <c r="N499" t="str">
        <f t="shared" si="16"/>
        <v/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2"/>
  <sheetViews>
    <sheetView workbookViewId="0">
      <selection activeCell="F5" sqref="F5"/>
    </sheetView>
  </sheetViews>
  <sheetFormatPr defaultRowHeight="17.399999999999999" x14ac:dyDescent="0.4"/>
  <cols>
    <col min="1" max="8" width="16" customWidth="1"/>
    <col min="9" max="9" width="20" customWidth="1"/>
  </cols>
  <sheetData>
    <row r="1" spans="1:9" ht="20.399999999999999" x14ac:dyDescent="0.45">
      <c r="A1" s="1" t="s">
        <v>49</v>
      </c>
    </row>
    <row r="2" spans="1:9" x14ac:dyDescent="0.4">
      <c r="A2" t="s">
        <v>50</v>
      </c>
    </row>
    <row r="3" spans="1:9" ht="34.799999999999997" x14ac:dyDescent="0.4">
      <c r="A3" s="3" t="s">
        <v>51</v>
      </c>
      <c r="B3" s="3" t="s">
        <v>52</v>
      </c>
      <c r="C3" s="3" t="s">
        <v>26</v>
      </c>
      <c r="D3" s="3" t="s">
        <v>31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</row>
    <row r="4" spans="1:9" x14ac:dyDescent="0.4">
      <c r="A4" t="s">
        <v>58</v>
      </c>
      <c r="B4" s="5">
        <f>SUMIFS(거래장부!$I$4:$I$499,거래장부!$B$4:$B$499,"매출",거래장부!$M$4:$M$499,1)</f>
        <v>800000</v>
      </c>
      <c r="C4" s="5">
        <f>SUMIFS(거래장부!$I$4:$I$499,거래장부!$B$4:$B$499,"재료비",거래장부!$M$4:$M$499,1)</f>
        <v>363000</v>
      </c>
      <c r="D4" s="5">
        <f>SUMIFS(거래장부!$I$4:$I$499,거래장부!$B$4:$B$499,"인건비",거래장부!$M$4:$M$499,1)</f>
        <v>100000</v>
      </c>
      <c r="E4" s="5">
        <f>SUMIFS(거래장부!$I$4:$I$499,거래장부!$B$4:$B$499,"교통비",거래장부!$M$4:$M$499,1)+SUMIFS(거래장부!$I$4:$I$499,거래장부!$B$4:$B$499,"통신비",거래장부!$M$4:$M$499,1)+SUMIFS(거래장부!$I$4:$I$499,거래장부!$B$4:$B$499,"광고비",거래장부!$M$4:$M$499,1)</f>
        <v>200000</v>
      </c>
      <c r="F4" s="5">
        <f>C4+D4+E4+SUMIFS(거래장부!$I$4:$I$499,거래장부!$B$4:$B$499,"기타비용",거래장부!$M$4:$M$499,1)</f>
        <v>663000</v>
      </c>
      <c r="G4" s="5">
        <f t="shared" ref="G4:G15" si="0">B4-F4</f>
        <v>137000</v>
      </c>
      <c r="H4" s="5">
        <f t="shared" ref="H4:H15" si="1">IFERROR(G4/B4,0)</f>
        <v>0.17125000000000001</v>
      </c>
      <c r="I4" s="5">
        <f t="shared" ref="I4:I15" si="2">B4*0.15</f>
        <v>120000</v>
      </c>
    </row>
    <row r="5" spans="1:9" x14ac:dyDescent="0.4">
      <c r="A5" t="s">
        <v>59</v>
      </c>
      <c r="B5" s="5">
        <f>SUMIFS(거래장부!$I$4:$I$499,거래장부!$B$4:$B$499,"매출",거래장부!$M$4:$M$499,2)</f>
        <v>0</v>
      </c>
      <c r="C5" s="5">
        <f>SUMIFS(거래장부!$I$4:$I$499,거래장부!$B$4:$B$499,"재료비",거래장부!$M$4:$M$499,2)</f>
        <v>0</v>
      </c>
      <c r="D5" s="5">
        <f>SUMIFS(거래장부!$I$4:$I$499,거래장부!$B$4:$B$499,"인건비",거래장부!$M$4:$M$499,2)</f>
        <v>0</v>
      </c>
      <c r="E5" s="5">
        <f>SUMIFS(거래장부!$I$4:$I$499,거래장부!$B$4:$B$499,"교통비",거래장부!$M$4:$M$499,2)+SUMIFS(거래장부!$I$4:$I$499,거래장부!$B$4:$B$499,"통신비",거래장부!$M$4:$M$499,2)+SUMIFS(거래장부!$I$4:$I$499,거래장부!$B$4:$B$499,"광고비",거래장부!$M$4:$M$499,2)</f>
        <v>0</v>
      </c>
      <c r="F5" s="5">
        <f>C5+D5+E5+SUMIFS(거래장부!$I$4:$I$499,거래장부!$B$4:$B$499,"기타비용",거래장부!$M$4:$M$499,2)</f>
        <v>0</v>
      </c>
      <c r="G5" s="5">
        <f t="shared" si="0"/>
        <v>0</v>
      </c>
      <c r="H5" s="5">
        <f t="shared" si="1"/>
        <v>0</v>
      </c>
      <c r="I5" s="5">
        <f t="shared" si="2"/>
        <v>0</v>
      </c>
    </row>
    <row r="6" spans="1:9" x14ac:dyDescent="0.4">
      <c r="A6" t="s">
        <v>60</v>
      </c>
      <c r="B6" s="5">
        <f>SUMIFS(거래장부!$I$4:$I$499,거래장부!$B$4:$B$499,"매출",거래장부!$M$4:$M$499,3)</f>
        <v>0</v>
      </c>
      <c r="C6" s="5">
        <f>SUMIFS(거래장부!$I$4:$I$499,거래장부!$B$4:$B$499,"재료비",거래장부!$M$4:$M$499,3)</f>
        <v>0</v>
      </c>
      <c r="D6" s="5">
        <f>SUMIFS(거래장부!$I$4:$I$499,거래장부!$B$4:$B$499,"인건비",거래장부!$M$4:$M$499,3)</f>
        <v>0</v>
      </c>
      <c r="E6" s="5">
        <f>SUMIFS(거래장부!$I$4:$I$499,거래장부!$B$4:$B$499,"교통비",거래장부!$M$4:$M$499,3)+SUMIFS(거래장부!$I$4:$I$499,거래장부!$B$4:$B$499,"통신비",거래장부!$M$4:$M$499,3)+SUMIFS(거래장부!$I$4:$I$499,거래장부!$B$4:$B$499,"광고비",거래장부!$M$4:$M$499,3)</f>
        <v>0</v>
      </c>
      <c r="F6" s="5">
        <f>C6+D6+E6+SUMIFS(거래장부!$I$4:$I$499,거래장부!$B$4:$B$499,"기타비용",거래장부!$M$4:$M$499,3)</f>
        <v>0</v>
      </c>
      <c r="G6" s="5">
        <f t="shared" si="0"/>
        <v>0</v>
      </c>
      <c r="H6" s="5">
        <f t="shared" si="1"/>
        <v>0</v>
      </c>
      <c r="I6" s="5">
        <f t="shared" si="2"/>
        <v>0</v>
      </c>
    </row>
    <row r="7" spans="1:9" x14ac:dyDescent="0.4">
      <c r="A7" t="s">
        <v>61</v>
      </c>
      <c r="B7" s="5">
        <f>SUMIFS(거래장부!$I$4:$I$499,거래장부!$B$4:$B$499,"매출",거래장부!$M$4:$M$499,4)</f>
        <v>0</v>
      </c>
      <c r="C7" s="5">
        <f>SUMIFS(거래장부!$I$4:$I$499,거래장부!$B$4:$B$499,"재료비",거래장부!$M$4:$M$499,4)</f>
        <v>0</v>
      </c>
      <c r="D7" s="5">
        <f>SUMIFS(거래장부!$I$4:$I$499,거래장부!$B$4:$B$499,"인건비",거래장부!$M$4:$M$499,4)</f>
        <v>0</v>
      </c>
      <c r="E7" s="5">
        <f>SUMIFS(거래장부!$I$4:$I$499,거래장부!$B$4:$B$499,"교통비",거래장부!$M$4:$M$499,4)+SUMIFS(거래장부!$I$4:$I$499,거래장부!$B$4:$B$499,"통신비",거래장부!$M$4:$M$499,4)+SUMIFS(거래장부!$I$4:$I$499,거래장부!$B$4:$B$499,"광고비",거래장부!$M$4:$M$499,4)</f>
        <v>0</v>
      </c>
      <c r="F7" s="5">
        <f>C7+D7+E7+SUMIFS(거래장부!$I$4:$I$499,거래장부!$B$4:$B$499,"기타비용",거래장부!$M$4:$M$499,4)</f>
        <v>0</v>
      </c>
      <c r="G7" s="5">
        <f t="shared" si="0"/>
        <v>0</v>
      </c>
      <c r="H7" s="5">
        <f t="shared" si="1"/>
        <v>0</v>
      </c>
      <c r="I7" s="5">
        <f t="shared" si="2"/>
        <v>0</v>
      </c>
    </row>
    <row r="8" spans="1:9" x14ac:dyDescent="0.4">
      <c r="A8" t="s">
        <v>62</v>
      </c>
      <c r="B8" s="5">
        <f>SUMIFS(거래장부!$I$4:$I$499,거래장부!$B$4:$B$499,"매출",거래장부!$M$4:$M$499,5)</f>
        <v>0</v>
      </c>
      <c r="C8" s="5">
        <f>SUMIFS(거래장부!$I$4:$I$499,거래장부!$B$4:$B$499,"재료비",거래장부!$M$4:$M$499,5)</f>
        <v>0</v>
      </c>
      <c r="D8" s="5">
        <f>SUMIFS(거래장부!$I$4:$I$499,거래장부!$B$4:$B$499,"인건비",거래장부!$M$4:$M$499,5)</f>
        <v>0</v>
      </c>
      <c r="E8" s="5">
        <f>SUMIFS(거래장부!$I$4:$I$499,거래장부!$B$4:$B$499,"교통비",거래장부!$M$4:$M$499,5)+SUMIFS(거래장부!$I$4:$I$499,거래장부!$B$4:$B$499,"통신비",거래장부!$M$4:$M$499,5)+SUMIFS(거래장부!$I$4:$I$499,거래장부!$B$4:$B$499,"광고비",거래장부!$M$4:$M$499,5)</f>
        <v>0</v>
      </c>
      <c r="F8" s="5">
        <f>C8+D8+E8+SUMIFS(거래장부!$I$4:$I$499,거래장부!$B$4:$B$499,"기타비용",거래장부!$M$4:$M$499,5)</f>
        <v>0</v>
      </c>
      <c r="G8" s="5">
        <f t="shared" si="0"/>
        <v>0</v>
      </c>
      <c r="H8" s="5">
        <f t="shared" si="1"/>
        <v>0</v>
      </c>
      <c r="I8" s="5">
        <f t="shared" si="2"/>
        <v>0</v>
      </c>
    </row>
    <row r="9" spans="1:9" x14ac:dyDescent="0.4">
      <c r="A9" t="s">
        <v>63</v>
      </c>
      <c r="B9" s="5">
        <f>SUMIFS(거래장부!$I$4:$I$499,거래장부!$B$4:$B$499,"매출",거래장부!$M$4:$M$499,6)</f>
        <v>0</v>
      </c>
      <c r="C9" s="5">
        <f>SUMIFS(거래장부!$I$4:$I$499,거래장부!$B$4:$B$499,"재료비",거래장부!$M$4:$M$499,6)</f>
        <v>0</v>
      </c>
      <c r="D9" s="5">
        <f>SUMIFS(거래장부!$I$4:$I$499,거래장부!$B$4:$B$499,"인건비",거래장부!$M$4:$M$499,6)</f>
        <v>0</v>
      </c>
      <c r="E9" s="5">
        <f>SUMIFS(거래장부!$I$4:$I$499,거래장부!$B$4:$B$499,"교통비",거래장부!$M$4:$M$499,6)+SUMIFS(거래장부!$I$4:$I$499,거래장부!$B$4:$B$499,"통신비",거래장부!$M$4:$M$499,6)+SUMIFS(거래장부!$I$4:$I$499,거래장부!$B$4:$B$499,"광고비",거래장부!$M$4:$M$499,6)</f>
        <v>0</v>
      </c>
      <c r="F9" s="5">
        <f>C9+D9+E9+SUMIFS(거래장부!$I$4:$I$499,거래장부!$B$4:$B$499,"기타비용",거래장부!$M$4:$M$499,6)</f>
        <v>0</v>
      </c>
      <c r="G9" s="5">
        <f t="shared" si="0"/>
        <v>0</v>
      </c>
      <c r="H9" s="5">
        <f t="shared" si="1"/>
        <v>0</v>
      </c>
      <c r="I9" s="5">
        <f t="shared" si="2"/>
        <v>0</v>
      </c>
    </row>
    <row r="10" spans="1:9" x14ac:dyDescent="0.4">
      <c r="A10" t="s">
        <v>64</v>
      </c>
      <c r="B10" s="5">
        <f>SUMIFS(거래장부!$I$4:$I$499,거래장부!$B$4:$B$499,"매출",거래장부!$M$4:$M$499,7)</f>
        <v>0</v>
      </c>
      <c r="C10" s="5">
        <f>SUMIFS(거래장부!$I$4:$I$499,거래장부!$B$4:$B$499,"재료비",거래장부!$M$4:$M$499,7)</f>
        <v>0</v>
      </c>
      <c r="D10" s="5">
        <f>SUMIFS(거래장부!$I$4:$I$499,거래장부!$B$4:$B$499,"인건비",거래장부!$M$4:$M$499,7)</f>
        <v>0</v>
      </c>
      <c r="E10" s="5">
        <f>SUMIFS(거래장부!$I$4:$I$499,거래장부!$B$4:$B$499,"교통비",거래장부!$M$4:$M$499,7)+SUMIFS(거래장부!$I$4:$I$499,거래장부!$B$4:$B$499,"통신비",거래장부!$M$4:$M$499,7)+SUMIFS(거래장부!$I$4:$I$499,거래장부!$B$4:$B$499,"광고비",거래장부!$M$4:$M$499,7)</f>
        <v>0</v>
      </c>
      <c r="F10" s="5">
        <f>C10+D10+E10+SUMIFS(거래장부!$I$4:$I$499,거래장부!$B$4:$B$499,"기타비용",거래장부!$M$4:$M$499,7)</f>
        <v>0</v>
      </c>
      <c r="G10" s="5">
        <f t="shared" si="0"/>
        <v>0</v>
      </c>
      <c r="H10" s="5">
        <f t="shared" si="1"/>
        <v>0</v>
      </c>
      <c r="I10" s="5">
        <f t="shared" si="2"/>
        <v>0</v>
      </c>
    </row>
    <row r="11" spans="1:9" x14ac:dyDescent="0.4">
      <c r="A11" t="s">
        <v>65</v>
      </c>
      <c r="B11" s="5">
        <f>SUMIFS(거래장부!$I$4:$I$499,거래장부!$B$4:$B$499,"매출",거래장부!$M$4:$M$499,8)</f>
        <v>0</v>
      </c>
      <c r="C11" s="5">
        <f>SUMIFS(거래장부!$I$4:$I$499,거래장부!$B$4:$B$499,"재료비",거래장부!$M$4:$M$499,8)</f>
        <v>0</v>
      </c>
      <c r="D11" s="5">
        <f>SUMIFS(거래장부!$I$4:$I$499,거래장부!$B$4:$B$499,"인건비",거래장부!$M$4:$M$499,8)</f>
        <v>0</v>
      </c>
      <c r="E11" s="5">
        <f>SUMIFS(거래장부!$I$4:$I$499,거래장부!$B$4:$B$499,"교통비",거래장부!$M$4:$M$499,8)+SUMIFS(거래장부!$I$4:$I$499,거래장부!$B$4:$B$499,"통신비",거래장부!$M$4:$M$499,8)+SUMIFS(거래장부!$I$4:$I$499,거래장부!$B$4:$B$499,"광고비",거래장부!$M$4:$M$499,8)</f>
        <v>0</v>
      </c>
      <c r="F11" s="5">
        <f>C11+D11+E11+SUMIFS(거래장부!$I$4:$I$499,거래장부!$B$4:$B$499,"기타비용",거래장부!$M$4:$M$499,8)</f>
        <v>0</v>
      </c>
      <c r="G11" s="5">
        <f t="shared" si="0"/>
        <v>0</v>
      </c>
      <c r="H11" s="5">
        <f t="shared" si="1"/>
        <v>0</v>
      </c>
      <c r="I11" s="5">
        <f t="shared" si="2"/>
        <v>0</v>
      </c>
    </row>
    <row r="12" spans="1:9" x14ac:dyDescent="0.4">
      <c r="A12" t="s">
        <v>66</v>
      </c>
      <c r="B12" s="5">
        <f>SUMIFS(거래장부!$I$4:$I$499,거래장부!$B$4:$B$499,"매출",거래장부!$M$4:$M$499,9)</f>
        <v>0</v>
      </c>
      <c r="C12" s="5">
        <f>SUMIFS(거래장부!$I$4:$I$499,거래장부!$B$4:$B$499,"재료비",거래장부!$M$4:$M$499,9)</f>
        <v>0</v>
      </c>
      <c r="D12" s="5">
        <f>SUMIFS(거래장부!$I$4:$I$499,거래장부!$B$4:$B$499,"인건비",거래장부!$M$4:$M$499,9)</f>
        <v>0</v>
      </c>
      <c r="E12" s="5">
        <f>SUMIFS(거래장부!$I$4:$I$499,거래장부!$B$4:$B$499,"교통비",거래장부!$M$4:$M$499,9)+SUMIFS(거래장부!$I$4:$I$499,거래장부!$B$4:$B$499,"통신비",거래장부!$M$4:$M$499,9)+SUMIFS(거래장부!$I$4:$I$499,거래장부!$B$4:$B$499,"광고비",거래장부!$M$4:$M$499,9)</f>
        <v>0</v>
      </c>
      <c r="F12" s="5">
        <f>C12+D12+E12+SUMIFS(거래장부!$I$4:$I$499,거래장부!$B$4:$B$499,"기타비용",거래장부!$M$4:$M$499,9)</f>
        <v>0</v>
      </c>
      <c r="G12" s="5">
        <f t="shared" si="0"/>
        <v>0</v>
      </c>
      <c r="H12" s="5">
        <f t="shared" si="1"/>
        <v>0</v>
      </c>
      <c r="I12" s="5">
        <f t="shared" si="2"/>
        <v>0</v>
      </c>
    </row>
    <row r="13" spans="1:9" x14ac:dyDescent="0.4">
      <c r="A13" t="s">
        <v>67</v>
      </c>
      <c r="B13" s="5">
        <f>SUMIFS(거래장부!$I$4:$I$499,거래장부!$B$4:$B$499,"매출",거래장부!$M$4:$M$499,10)</f>
        <v>0</v>
      </c>
      <c r="C13" s="5">
        <f>SUMIFS(거래장부!$I$4:$I$499,거래장부!$B$4:$B$499,"재료비",거래장부!$M$4:$M$499,10)</f>
        <v>0</v>
      </c>
      <c r="D13" s="5">
        <f>SUMIFS(거래장부!$I$4:$I$499,거래장부!$B$4:$B$499,"인건비",거래장부!$M$4:$M$499,10)</f>
        <v>0</v>
      </c>
      <c r="E13" s="5">
        <f>SUMIFS(거래장부!$I$4:$I$499,거래장부!$B$4:$B$499,"교통비",거래장부!$M$4:$M$499,10)+SUMIFS(거래장부!$I$4:$I$499,거래장부!$B$4:$B$499,"통신비",거래장부!$M$4:$M$499,10)+SUMIFS(거래장부!$I$4:$I$499,거래장부!$B$4:$B$499,"광고비",거래장부!$M$4:$M$499,10)</f>
        <v>0</v>
      </c>
      <c r="F13" s="5">
        <f>C13+D13+E13+SUMIFS(거래장부!$I$4:$I$499,거래장부!$B$4:$B$499,"기타비용",거래장부!$M$4:$M$499,10)</f>
        <v>0</v>
      </c>
      <c r="G13" s="5">
        <f t="shared" si="0"/>
        <v>0</v>
      </c>
      <c r="H13" s="5">
        <f t="shared" si="1"/>
        <v>0</v>
      </c>
      <c r="I13" s="5">
        <f t="shared" si="2"/>
        <v>0</v>
      </c>
    </row>
    <row r="14" spans="1:9" x14ac:dyDescent="0.4">
      <c r="A14" t="s">
        <v>68</v>
      </c>
      <c r="B14" s="5">
        <f>SUMIFS(거래장부!$I$4:$I$499,거래장부!$B$4:$B$499,"매출",거래장부!$M$4:$M$499,11)</f>
        <v>0</v>
      </c>
      <c r="C14" s="5">
        <f>SUMIFS(거래장부!$I$4:$I$499,거래장부!$B$4:$B$499,"재료비",거래장부!$M$4:$M$499,11)</f>
        <v>0</v>
      </c>
      <c r="D14" s="5">
        <f>SUMIFS(거래장부!$I$4:$I$499,거래장부!$B$4:$B$499,"인건비",거래장부!$M$4:$M$499,11)</f>
        <v>0</v>
      </c>
      <c r="E14" s="5">
        <f>SUMIFS(거래장부!$I$4:$I$499,거래장부!$B$4:$B$499,"교통비",거래장부!$M$4:$M$499,11)+SUMIFS(거래장부!$I$4:$I$499,거래장부!$B$4:$B$499,"통신비",거래장부!$M$4:$M$499,11)+SUMIFS(거래장부!$I$4:$I$499,거래장부!$B$4:$B$499,"광고비",거래장부!$M$4:$M$499,11)</f>
        <v>0</v>
      </c>
      <c r="F14" s="5">
        <f>C14+D14+E14+SUMIFS(거래장부!$I$4:$I$499,거래장부!$B$4:$B$499,"기타비용",거래장부!$M$4:$M$499,11)</f>
        <v>0</v>
      </c>
      <c r="G14" s="5">
        <f t="shared" si="0"/>
        <v>0</v>
      </c>
      <c r="H14" s="5">
        <f t="shared" si="1"/>
        <v>0</v>
      </c>
      <c r="I14" s="5">
        <f t="shared" si="2"/>
        <v>0</v>
      </c>
    </row>
    <row r="15" spans="1:9" x14ac:dyDescent="0.4">
      <c r="A15" t="s">
        <v>69</v>
      </c>
      <c r="B15" s="5">
        <f>SUMIFS(거래장부!$I$4:$I$499,거래장부!$B$4:$B$499,"매출",거래장부!$M$4:$M$499,12)</f>
        <v>0</v>
      </c>
      <c r="C15" s="5">
        <f>SUMIFS(거래장부!$I$4:$I$499,거래장부!$B$4:$B$499,"재료비",거래장부!$M$4:$M$499,12)</f>
        <v>0</v>
      </c>
      <c r="D15" s="5">
        <f>SUMIFS(거래장부!$I$4:$I$499,거래장부!$B$4:$B$499,"인건비",거래장부!$M$4:$M$499,12)</f>
        <v>0</v>
      </c>
      <c r="E15" s="5">
        <f>SUMIFS(거래장부!$I$4:$I$499,거래장부!$B$4:$B$499,"교통비",거래장부!$M$4:$M$499,12)+SUMIFS(거래장부!$I$4:$I$499,거래장부!$B$4:$B$499,"통신비",거래장부!$M$4:$M$499,12)+SUMIFS(거래장부!$I$4:$I$499,거래장부!$B$4:$B$499,"광고비",거래장부!$M$4:$M$499,12)</f>
        <v>0</v>
      </c>
      <c r="F15" s="5">
        <f>C15+D15+E15+SUMIFS(거래장부!$I$4:$I$499,거래장부!$B$4:$B$499,"기타비용",거래장부!$M$4:$M$499,12)</f>
        <v>0</v>
      </c>
      <c r="G15" s="5">
        <f t="shared" si="0"/>
        <v>0</v>
      </c>
      <c r="H15" s="5">
        <f t="shared" si="1"/>
        <v>0</v>
      </c>
      <c r="I15" s="5">
        <f t="shared" si="2"/>
        <v>0</v>
      </c>
    </row>
    <row r="16" spans="1:9" x14ac:dyDescent="0.4">
      <c r="B16" s="5"/>
      <c r="C16" s="5"/>
      <c r="D16" s="5"/>
      <c r="E16" s="5"/>
      <c r="F16" s="5"/>
      <c r="G16" s="5"/>
      <c r="H16" s="5"/>
      <c r="I16" s="5"/>
    </row>
    <row r="17" spans="1:9" x14ac:dyDescent="0.4">
      <c r="A17" s="4" t="s">
        <v>70</v>
      </c>
      <c r="B17" s="5">
        <f t="shared" ref="B17:G17" si="3">SUM(B4:B15)</f>
        <v>800000</v>
      </c>
      <c r="C17" s="5">
        <f t="shared" si="3"/>
        <v>363000</v>
      </c>
      <c r="D17" s="5">
        <f t="shared" si="3"/>
        <v>100000</v>
      </c>
      <c r="E17" s="5">
        <f t="shared" si="3"/>
        <v>200000</v>
      </c>
      <c r="F17" s="5">
        <f t="shared" si="3"/>
        <v>663000</v>
      </c>
      <c r="G17" s="5">
        <f t="shared" si="3"/>
        <v>137000</v>
      </c>
      <c r="H17" s="5">
        <f>IFERROR(G17/B17,0)</f>
        <v>0.17125000000000001</v>
      </c>
      <c r="I17" s="5">
        <f>SUM(I4:I15)</f>
        <v>120000</v>
      </c>
    </row>
    <row r="18" spans="1:9" x14ac:dyDescent="0.4">
      <c r="B18" s="5"/>
      <c r="C18" s="5"/>
      <c r="D18" s="5"/>
      <c r="E18" s="5"/>
      <c r="F18" s="5"/>
      <c r="G18" s="5"/>
      <c r="H18" s="5"/>
      <c r="I18" s="5"/>
    </row>
    <row r="19" spans="1:9" x14ac:dyDescent="0.4">
      <c r="B19" s="5"/>
      <c r="C19" s="5"/>
      <c r="D19" s="5"/>
      <c r="E19" s="5"/>
      <c r="F19" s="5"/>
      <c r="G19" s="5"/>
      <c r="H19" s="5"/>
      <c r="I19" s="5"/>
    </row>
    <row r="20" spans="1:9" x14ac:dyDescent="0.4">
      <c r="B20" s="5"/>
      <c r="C20" s="5"/>
      <c r="D20" s="5"/>
      <c r="E20" s="5"/>
      <c r="F20" s="5"/>
      <c r="G20" s="5"/>
      <c r="H20" s="5"/>
      <c r="I20" s="5"/>
    </row>
    <row r="21" spans="1:9" x14ac:dyDescent="0.4">
      <c r="B21" s="5"/>
      <c r="C21" s="5"/>
      <c r="D21" s="5"/>
      <c r="E21" s="5"/>
      <c r="F21" s="5"/>
      <c r="G21" s="5"/>
      <c r="H21" s="5"/>
      <c r="I21" s="5"/>
    </row>
    <row r="22" spans="1:9" x14ac:dyDescent="0.4">
      <c r="B22" s="5"/>
      <c r="C22" s="5"/>
      <c r="D22" s="5"/>
      <c r="E22" s="5"/>
      <c r="F22" s="5"/>
      <c r="G22" s="5"/>
      <c r="H22" s="5"/>
      <c r="I22" s="5"/>
    </row>
    <row r="23" spans="1:9" x14ac:dyDescent="0.4">
      <c r="B23" s="5"/>
      <c r="C23" s="5"/>
      <c r="D23" s="5"/>
      <c r="E23" s="5"/>
      <c r="F23" s="5"/>
      <c r="G23" s="5"/>
      <c r="H23" s="5"/>
      <c r="I23" s="5"/>
    </row>
    <row r="24" spans="1:9" x14ac:dyDescent="0.4">
      <c r="B24" s="5"/>
      <c r="C24" s="5"/>
      <c r="D24" s="5"/>
      <c r="E24" s="5"/>
      <c r="F24" s="5"/>
      <c r="G24" s="5"/>
      <c r="H24" s="5"/>
      <c r="I24" s="5"/>
    </row>
    <row r="25" spans="1:9" x14ac:dyDescent="0.4">
      <c r="B25" s="5"/>
      <c r="C25" s="5"/>
      <c r="D25" s="5"/>
      <c r="E25" s="5"/>
      <c r="F25" s="5"/>
      <c r="G25" s="5"/>
      <c r="H25" s="5"/>
      <c r="I25" s="5"/>
    </row>
    <row r="26" spans="1:9" x14ac:dyDescent="0.4">
      <c r="B26" s="5"/>
      <c r="C26" s="5"/>
      <c r="D26" s="5"/>
      <c r="E26" s="5"/>
      <c r="F26" s="5"/>
      <c r="G26" s="5"/>
      <c r="H26" s="5"/>
      <c r="I26" s="5"/>
    </row>
    <row r="27" spans="1:9" x14ac:dyDescent="0.4">
      <c r="B27" s="5"/>
      <c r="C27" s="5"/>
      <c r="D27" s="5"/>
      <c r="E27" s="5"/>
      <c r="F27" s="5"/>
      <c r="G27" s="5"/>
      <c r="H27" s="5"/>
      <c r="I27" s="5"/>
    </row>
    <row r="28" spans="1:9" x14ac:dyDescent="0.4">
      <c r="B28" s="5"/>
      <c r="C28" s="5"/>
      <c r="D28" s="5"/>
      <c r="E28" s="5"/>
      <c r="F28" s="5"/>
      <c r="G28" s="5"/>
      <c r="H28" s="5"/>
      <c r="I28" s="5"/>
    </row>
    <row r="29" spans="1:9" x14ac:dyDescent="0.4">
      <c r="B29" s="5"/>
      <c r="C29" s="5"/>
      <c r="D29" s="5"/>
      <c r="E29" s="5"/>
      <c r="F29" s="5"/>
      <c r="G29" s="5"/>
      <c r="H29" s="5"/>
      <c r="I29" s="5"/>
    </row>
    <row r="30" spans="1:9" x14ac:dyDescent="0.4">
      <c r="B30" s="5"/>
      <c r="C30" s="5"/>
      <c r="D30" s="5"/>
      <c r="E30" s="5"/>
      <c r="F30" s="5"/>
      <c r="G30" s="5"/>
      <c r="H30" s="5"/>
      <c r="I30" s="5"/>
    </row>
    <row r="31" spans="1:9" x14ac:dyDescent="0.4">
      <c r="B31" s="5"/>
      <c r="C31" s="5"/>
      <c r="D31" s="5"/>
      <c r="E31" s="5"/>
      <c r="F31" s="5"/>
      <c r="G31" s="5"/>
      <c r="H31" s="5"/>
      <c r="I31" s="5"/>
    </row>
    <row r="32" spans="1:9" x14ac:dyDescent="0.4">
      <c r="B32" s="5"/>
      <c r="C32" s="5"/>
      <c r="D32" s="5"/>
      <c r="E32" s="5"/>
      <c r="F32" s="5"/>
      <c r="G32" s="5"/>
      <c r="H32" s="5"/>
      <c r="I32" s="5"/>
    </row>
    <row r="33" spans="2:9" x14ac:dyDescent="0.4">
      <c r="B33" s="5"/>
      <c r="C33" s="5"/>
      <c r="D33" s="5"/>
      <c r="E33" s="5"/>
      <c r="F33" s="5"/>
      <c r="G33" s="5"/>
      <c r="H33" s="5"/>
      <c r="I33" s="5"/>
    </row>
    <row r="34" spans="2:9" x14ac:dyDescent="0.4">
      <c r="B34" s="5"/>
      <c r="C34" s="5"/>
      <c r="D34" s="5"/>
      <c r="E34" s="5"/>
      <c r="F34" s="5"/>
      <c r="G34" s="5"/>
      <c r="H34" s="5"/>
      <c r="I34" s="5"/>
    </row>
    <row r="35" spans="2:9" x14ac:dyDescent="0.4">
      <c r="B35" s="5"/>
      <c r="C35" s="5"/>
      <c r="D35" s="5"/>
      <c r="E35" s="5"/>
      <c r="F35" s="5"/>
      <c r="G35" s="5"/>
      <c r="H35" s="5"/>
      <c r="I35" s="5"/>
    </row>
    <row r="36" spans="2:9" x14ac:dyDescent="0.4">
      <c r="B36" s="5"/>
      <c r="C36" s="5"/>
      <c r="D36" s="5"/>
      <c r="E36" s="5"/>
      <c r="F36" s="5"/>
      <c r="G36" s="5"/>
      <c r="H36" s="5"/>
      <c r="I36" s="5"/>
    </row>
    <row r="37" spans="2:9" x14ac:dyDescent="0.4">
      <c r="B37" s="5"/>
      <c r="C37" s="5"/>
      <c r="D37" s="5"/>
      <c r="E37" s="5"/>
      <c r="F37" s="5"/>
      <c r="G37" s="5"/>
      <c r="H37" s="5"/>
      <c r="I37" s="5"/>
    </row>
    <row r="38" spans="2:9" x14ac:dyDescent="0.4">
      <c r="B38" s="5"/>
      <c r="C38" s="5"/>
      <c r="D38" s="5"/>
      <c r="E38" s="5"/>
      <c r="F38" s="5"/>
      <c r="G38" s="5"/>
      <c r="H38" s="5"/>
      <c r="I38" s="5"/>
    </row>
    <row r="39" spans="2:9" x14ac:dyDescent="0.4">
      <c r="B39" s="5"/>
      <c r="C39" s="5"/>
      <c r="D39" s="5"/>
      <c r="E39" s="5"/>
      <c r="F39" s="5"/>
      <c r="G39" s="5"/>
      <c r="H39" s="5"/>
      <c r="I39" s="5"/>
    </row>
    <row r="40" spans="2:9" x14ac:dyDescent="0.4">
      <c r="B40" s="5"/>
      <c r="C40" s="5"/>
      <c r="D40" s="5"/>
      <c r="E40" s="5"/>
      <c r="F40" s="5"/>
      <c r="G40" s="5"/>
      <c r="H40" s="5"/>
      <c r="I40" s="5"/>
    </row>
    <row r="41" spans="2:9" x14ac:dyDescent="0.4">
      <c r="B41" s="5"/>
      <c r="C41" s="5"/>
      <c r="D41" s="5"/>
      <c r="E41" s="5"/>
      <c r="F41" s="5"/>
      <c r="G41" s="5"/>
      <c r="H41" s="5"/>
      <c r="I41" s="5"/>
    </row>
    <row r="42" spans="2:9" x14ac:dyDescent="0.4">
      <c r="B42" s="5"/>
      <c r="C42" s="5"/>
      <c r="D42" s="5"/>
      <c r="E42" s="5"/>
      <c r="F42" s="5"/>
      <c r="G42" s="5"/>
      <c r="H42" s="5"/>
      <c r="I42" s="5"/>
    </row>
    <row r="43" spans="2:9" x14ac:dyDescent="0.4">
      <c r="B43" s="5"/>
      <c r="C43" s="5"/>
      <c r="D43" s="5"/>
      <c r="E43" s="5"/>
      <c r="F43" s="5"/>
      <c r="G43" s="5"/>
      <c r="H43" s="5"/>
      <c r="I43" s="5"/>
    </row>
    <row r="44" spans="2:9" x14ac:dyDescent="0.4">
      <c r="B44" s="5"/>
      <c r="C44" s="5"/>
      <c r="D44" s="5"/>
      <c r="E44" s="5"/>
      <c r="F44" s="5"/>
      <c r="G44" s="5"/>
      <c r="H44" s="5"/>
      <c r="I44" s="5"/>
    </row>
    <row r="45" spans="2:9" x14ac:dyDescent="0.4">
      <c r="B45" s="5"/>
      <c r="C45" s="5"/>
      <c r="D45" s="5"/>
      <c r="E45" s="5"/>
      <c r="F45" s="5"/>
      <c r="G45" s="5"/>
      <c r="H45" s="5"/>
      <c r="I45" s="5"/>
    </row>
    <row r="46" spans="2:9" x14ac:dyDescent="0.4">
      <c r="B46" s="5"/>
      <c r="C46" s="5"/>
      <c r="D46" s="5"/>
      <c r="E46" s="5"/>
      <c r="F46" s="5"/>
      <c r="G46" s="5"/>
      <c r="H46" s="5"/>
      <c r="I46" s="5"/>
    </row>
    <row r="47" spans="2:9" x14ac:dyDescent="0.4">
      <c r="B47" s="5"/>
      <c r="C47" s="5"/>
      <c r="D47" s="5"/>
      <c r="E47" s="5"/>
      <c r="F47" s="5"/>
      <c r="G47" s="5"/>
      <c r="H47" s="5"/>
      <c r="I47" s="5"/>
    </row>
    <row r="48" spans="2:9" x14ac:dyDescent="0.4">
      <c r="B48" s="5"/>
      <c r="C48" s="5"/>
      <c r="D48" s="5"/>
      <c r="E48" s="5"/>
      <c r="F48" s="5"/>
      <c r="G48" s="5"/>
      <c r="H48" s="5"/>
      <c r="I48" s="5"/>
    </row>
    <row r="49" spans="2:9" x14ac:dyDescent="0.4">
      <c r="B49" s="5"/>
      <c r="C49" s="5"/>
      <c r="D49" s="5"/>
      <c r="E49" s="5"/>
      <c r="F49" s="5"/>
      <c r="G49" s="5"/>
      <c r="H49" s="5"/>
      <c r="I49" s="5"/>
    </row>
    <row r="50" spans="2:9" x14ac:dyDescent="0.4">
      <c r="B50" s="5"/>
      <c r="C50" s="5"/>
      <c r="D50" s="5"/>
      <c r="E50" s="5"/>
      <c r="F50" s="5"/>
      <c r="G50" s="5"/>
      <c r="H50" s="5"/>
      <c r="I50" s="5"/>
    </row>
    <row r="51" spans="2:9" x14ac:dyDescent="0.4">
      <c r="B51" s="5"/>
      <c r="C51" s="5"/>
      <c r="D51" s="5"/>
      <c r="E51" s="5"/>
      <c r="F51" s="5"/>
      <c r="G51" s="5"/>
      <c r="H51" s="5"/>
      <c r="I51" s="5"/>
    </row>
    <row r="52" spans="2:9" x14ac:dyDescent="0.4">
      <c r="B52" s="5"/>
      <c r="C52" s="5"/>
      <c r="D52" s="5"/>
      <c r="E52" s="5"/>
      <c r="F52" s="5"/>
      <c r="G52" s="5"/>
      <c r="H52" s="5"/>
      <c r="I52" s="5"/>
    </row>
    <row r="53" spans="2:9" x14ac:dyDescent="0.4">
      <c r="B53" s="5"/>
      <c r="C53" s="5"/>
      <c r="D53" s="5"/>
      <c r="E53" s="5"/>
      <c r="F53" s="5"/>
      <c r="G53" s="5"/>
      <c r="H53" s="5"/>
      <c r="I53" s="5"/>
    </row>
    <row r="54" spans="2:9" x14ac:dyDescent="0.4">
      <c r="B54" s="5"/>
      <c r="C54" s="5"/>
      <c r="D54" s="5"/>
      <c r="E54" s="5"/>
      <c r="F54" s="5"/>
      <c r="G54" s="5"/>
      <c r="H54" s="5"/>
      <c r="I54" s="5"/>
    </row>
    <row r="55" spans="2:9" x14ac:dyDescent="0.4">
      <c r="B55" s="5"/>
      <c r="C55" s="5"/>
      <c r="D55" s="5"/>
      <c r="E55" s="5"/>
      <c r="F55" s="5"/>
      <c r="G55" s="5"/>
      <c r="H55" s="5"/>
      <c r="I55" s="5"/>
    </row>
    <row r="56" spans="2:9" x14ac:dyDescent="0.4">
      <c r="B56" s="5"/>
      <c r="C56" s="5"/>
      <c r="D56" s="5"/>
      <c r="E56" s="5"/>
      <c r="F56" s="5"/>
      <c r="G56" s="5"/>
      <c r="H56" s="5"/>
      <c r="I56" s="5"/>
    </row>
    <row r="57" spans="2:9" x14ac:dyDescent="0.4">
      <c r="B57" s="5"/>
      <c r="C57" s="5"/>
      <c r="D57" s="5"/>
      <c r="E57" s="5"/>
      <c r="F57" s="5"/>
      <c r="G57" s="5"/>
      <c r="H57" s="5"/>
      <c r="I57" s="5"/>
    </row>
    <row r="58" spans="2:9" x14ac:dyDescent="0.4">
      <c r="B58" s="5"/>
      <c r="C58" s="5"/>
      <c r="D58" s="5"/>
      <c r="E58" s="5"/>
      <c r="F58" s="5"/>
      <c r="G58" s="5"/>
      <c r="H58" s="5"/>
      <c r="I58" s="5"/>
    </row>
    <row r="59" spans="2:9" x14ac:dyDescent="0.4">
      <c r="B59" s="5"/>
      <c r="C59" s="5"/>
      <c r="D59" s="5"/>
      <c r="E59" s="5"/>
      <c r="F59" s="5"/>
      <c r="G59" s="5"/>
      <c r="H59" s="5"/>
      <c r="I59" s="5"/>
    </row>
    <row r="60" spans="2:9" x14ac:dyDescent="0.4">
      <c r="B60" s="5"/>
      <c r="C60" s="5"/>
      <c r="D60" s="5"/>
      <c r="E60" s="5"/>
      <c r="F60" s="5"/>
      <c r="G60" s="5"/>
      <c r="H60" s="5"/>
      <c r="I60" s="5"/>
    </row>
    <row r="61" spans="2:9" x14ac:dyDescent="0.4">
      <c r="B61" s="5"/>
      <c r="C61" s="5"/>
      <c r="D61" s="5"/>
      <c r="E61" s="5"/>
      <c r="F61" s="5"/>
      <c r="G61" s="5"/>
      <c r="H61" s="5"/>
      <c r="I61" s="5"/>
    </row>
    <row r="62" spans="2:9" x14ac:dyDescent="0.4">
      <c r="B62" s="5"/>
      <c r="C62" s="5"/>
      <c r="D62" s="5"/>
      <c r="E62" s="5"/>
      <c r="F62" s="5"/>
      <c r="G62" s="5"/>
      <c r="H62" s="5"/>
      <c r="I62" s="5"/>
    </row>
    <row r="63" spans="2:9" x14ac:dyDescent="0.4">
      <c r="B63" s="5"/>
      <c r="C63" s="5"/>
      <c r="D63" s="5"/>
      <c r="E63" s="5"/>
      <c r="F63" s="5"/>
      <c r="G63" s="5"/>
      <c r="H63" s="5"/>
      <c r="I63" s="5"/>
    </row>
    <row r="64" spans="2:9" x14ac:dyDescent="0.4">
      <c r="B64" s="5"/>
      <c r="C64" s="5"/>
      <c r="D64" s="5"/>
      <c r="E64" s="5"/>
      <c r="F64" s="5"/>
      <c r="G64" s="5"/>
      <c r="H64" s="5"/>
      <c r="I64" s="5"/>
    </row>
    <row r="65" spans="2:9" x14ac:dyDescent="0.4">
      <c r="B65" s="5"/>
      <c r="C65" s="5"/>
      <c r="D65" s="5"/>
      <c r="E65" s="5"/>
      <c r="F65" s="5"/>
      <c r="G65" s="5"/>
      <c r="H65" s="5"/>
      <c r="I65" s="5"/>
    </row>
    <row r="66" spans="2:9" x14ac:dyDescent="0.4">
      <c r="B66" s="5"/>
      <c r="C66" s="5"/>
      <c r="D66" s="5"/>
      <c r="E66" s="5"/>
      <c r="F66" s="5"/>
      <c r="G66" s="5"/>
      <c r="H66" s="5"/>
      <c r="I66" s="5"/>
    </row>
    <row r="67" spans="2:9" x14ac:dyDescent="0.4">
      <c r="B67" s="5"/>
      <c r="C67" s="5"/>
      <c r="D67" s="5"/>
      <c r="E67" s="5"/>
      <c r="F67" s="5"/>
      <c r="G67" s="5"/>
      <c r="H67" s="5"/>
      <c r="I67" s="5"/>
    </row>
    <row r="68" spans="2:9" x14ac:dyDescent="0.4">
      <c r="B68" s="5"/>
      <c r="C68" s="5"/>
      <c r="D68" s="5"/>
      <c r="E68" s="5"/>
      <c r="F68" s="5"/>
      <c r="G68" s="5"/>
      <c r="H68" s="5"/>
      <c r="I68" s="5"/>
    </row>
    <row r="69" spans="2:9" x14ac:dyDescent="0.4">
      <c r="B69" s="5"/>
      <c r="C69" s="5"/>
      <c r="D69" s="5"/>
      <c r="E69" s="5"/>
      <c r="F69" s="5"/>
      <c r="G69" s="5"/>
      <c r="H69" s="5"/>
      <c r="I69" s="5"/>
    </row>
    <row r="70" spans="2:9" x14ac:dyDescent="0.4">
      <c r="B70" s="5"/>
      <c r="C70" s="5"/>
      <c r="D70" s="5"/>
      <c r="E70" s="5"/>
      <c r="F70" s="5"/>
      <c r="G70" s="5"/>
      <c r="H70" s="5"/>
      <c r="I70" s="5"/>
    </row>
    <row r="71" spans="2:9" x14ac:dyDescent="0.4">
      <c r="B71" s="5"/>
      <c r="C71" s="5"/>
      <c r="D71" s="5"/>
      <c r="E71" s="5"/>
      <c r="F71" s="5"/>
      <c r="G71" s="5"/>
      <c r="H71" s="5"/>
      <c r="I71" s="5"/>
    </row>
    <row r="72" spans="2:9" x14ac:dyDescent="0.4">
      <c r="B72" s="5"/>
      <c r="C72" s="5"/>
      <c r="D72" s="5"/>
      <c r="E72" s="5"/>
      <c r="F72" s="5"/>
      <c r="G72" s="5"/>
      <c r="H72" s="5"/>
      <c r="I72" s="5"/>
    </row>
    <row r="73" spans="2:9" x14ac:dyDescent="0.4">
      <c r="B73" s="5"/>
      <c r="C73" s="5"/>
      <c r="D73" s="5"/>
      <c r="E73" s="5"/>
      <c r="F73" s="5"/>
      <c r="G73" s="5"/>
      <c r="H73" s="5"/>
      <c r="I73" s="5"/>
    </row>
    <row r="74" spans="2:9" x14ac:dyDescent="0.4">
      <c r="B74" s="5"/>
      <c r="C74" s="5"/>
      <c r="D74" s="5"/>
      <c r="E74" s="5"/>
      <c r="F74" s="5"/>
      <c r="G74" s="5"/>
      <c r="H74" s="5"/>
      <c r="I74" s="5"/>
    </row>
    <row r="75" spans="2:9" x14ac:dyDescent="0.4">
      <c r="B75" s="5"/>
      <c r="C75" s="5"/>
      <c r="D75" s="5"/>
      <c r="E75" s="5"/>
      <c r="F75" s="5"/>
      <c r="G75" s="5"/>
      <c r="H75" s="5"/>
      <c r="I75" s="5"/>
    </row>
    <row r="76" spans="2:9" x14ac:dyDescent="0.4">
      <c r="B76" s="5"/>
      <c r="C76" s="5"/>
      <c r="D76" s="5"/>
      <c r="E76" s="5"/>
      <c r="F76" s="5"/>
      <c r="G76" s="5"/>
      <c r="H76" s="5"/>
      <c r="I76" s="5"/>
    </row>
    <row r="77" spans="2:9" x14ac:dyDescent="0.4">
      <c r="B77" s="5"/>
      <c r="C77" s="5"/>
      <c r="D77" s="5"/>
      <c r="E77" s="5"/>
      <c r="F77" s="5"/>
      <c r="G77" s="5"/>
      <c r="H77" s="5"/>
      <c r="I77" s="5"/>
    </row>
    <row r="78" spans="2:9" x14ac:dyDescent="0.4">
      <c r="B78" s="5"/>
      <c r="C78" s="5"/>
      <c r="D78" s="5"/>
      <c r="E78" s="5"/>
      <c r="F78" s="5"/>
      <c r="G78" s="5"/>
      <c r="H78" s="5"/>
      <c r="I78" s="5"/>
    </row>
    <row r="79" spans="2:9" x14ac:dyDescent="0.4">
      <c r="B79" s="5"/>
      <c r="C79" s="5"/>
      <c r="D79" s="5"/>
      <c r="E79" s="5"/>
      <c r="F79" s="5"/>
      <c r="G79" s="5"/>
      <c r="H79" s="5"/>
      <c r="I79" s="5"/>
    </row>
    <row r="80" spans="2:9" x14ac:dyDescent="0.4">
      <c r="B80" s="5"/>
      <c r="C80" s="5"/>
      <c r="D80" s="5"/>
      <c r="E80" s="5"/>
      <c r="F80" s="5"/>
      <c r="G80" s="5"/>
      <c r="H80" s="5"/>
      <c r="I80" s="5"/>
    </row>
    <row r="81" spans="2:9" x14ac:dyDescent="0.4">
      <c r="B81" s="5"/>
      <c r="C81" s="5"/>
      <c r="D81" s="5"/>
      <c r="E81" s="5"/>
      <c r="F81" s="5"/>
      <c r="G81" s="5"/>
      <c r="H81" s="5"/>
      <c r="I81" s="5"/>
    </row>
    <row r="82" spans="2:9" x14ac:dyDescent="0.4">
      <c r="B82" s="5"/>
      <c r="C82" s="5"/>
      <c r="D82" s="5"/>
      <c r="E82" s="5"/>
      <c r="F82" s="5"/>
      <c r="G82" s="5"/>
      <c r="H82" s="5"/>
      <c r="I82" s="5"/>
    </row>
    <row r="83" spans="2:9" x14ac:dyDescent="0.4">
      <c r="B83" s="5"/>
      <c r="C83" s="5"/>
      <c r="D83" s="5"/>
      <c r="E83" s="5"/>
      <c r="F83" s="5"/>
      <c r="G83" s="5"/>
      <c r="H83" s="5"/>
      <c r="I83" s="5"/>
    </row>
    <row r="84" spans="2:9" x14ac:dyDescent="0.4">
      <c r="B84" s="5"/>
      <c r="C84" s="5"/>
      <c r="D84" s="5"/>
      <c r="E84" s="5"/>
      <c r="F84" s="5"/>
      <c r="G84" s="5"/>
      <c r="H84" s="5"/>
      <c r="I84" s="5"/>
    </row>
    <row r="85" spans="2:9" x14ac:dyDescent="0.4">
      <c r="B85" s="5"/>
      <c r="C85" s="5"/>
      <c r="D85" s="5"/>
      <c r="E85" s="5"/>
      <c r="F85" s="5"/>
      <c r="G85" s="5"/>
      <c r="H85" s="5"/>
      <c r="I85" s="5"/>
    </row>
    <row r="86" spans="2:9" x14ac:dyDescent="0.4">
      <c r="B86" s="5"/>
      <c r="C86" s="5"/>
      <c r="D86" s="5"/>
      <c r="E86" s="5"/>
      <c r="F86" s="5"/>
      <c r="G86" s="5"/>
      <c r="H86" s="5"/>
      <c r="I86" s="5"/>
    </row>
    <row r="87" spans="2:9" x14ac:dyDescent="0.4">
      <c r="B87" s="5"/>
      <c r="C87" s="5"/>
      <c r="D87" s="5"/>
      <c r="E87" s="5"/>
      <c r="F87" s="5"/>
      <c r="G87" s="5"/>
      <c r="H87" s="5"/>
      <c r="I87" s="5"/>
    </row>
    <row r="88" spans="2:9" x14ac:dyDescent="0.4">
      <c r="B88" s="5"/>
      <c r="C88" s="5"/>
      <c r="D88" s="5"/>
      <c r="E88" s="5"/>
      <c r="F88" s="5"/>
      <c r="G88" s="5"/>
      <c r="H88" s="5"/>
      <c r="I88" s="5"/>
    </row>
    <row r="89" spans="2:9" x14ac:dyDescent="0.4">
      <c r="B89" s="5"/>
      <c r="C89" s="5"/>
      <c r="D89" s="5"/>
      <c r="E89" s="5"/>
      <c r="F89" s="5"/>
      <c r="G89" s="5"/>
      <c r="H89" s="5"/>
      <c r="I89" s="5"/>
    </row>
    <row r="90" spans="2:9" x14ac:dyDescent="0.4">
      <c r="B90" s="5"/>
      <c r="C90" s="5"/>
      <c r="D90" s="5"/>
      <c r="E90" s="5"/>
      <c r="F90" s="5"/>
      <c r="G90" s="5"/>
      <c r="H90" s="5"/>
      <c r="I90" s="5"/>
    </row>
    <row r="91" spans="2:9" x14ac:dyDescent="0.4">
      <c r="B91" s="5"/>
      <c r="C91" s="5"/>
      <c r="D91" s="5"/>
      <c r="E91" s="5"/>
      <c r="F91" s="5"/>
      <c r="G91" s="5"/>
      <c r="H91" s="5"/>
      <c r="I91" s="5"/>
    </row>
    <row r="92" spans="2:9" x14ac:dyDescent="0.4">
      <c r="B92" s="5"/>
      <c r="C92" s="5"/>
      <c r="D92" s="5"/>
      <c r="E92" s="5"/>
      <c r="F92" s="5"/>
      <c r="G92" s="5"/>
      <c r="H92" s="5"/>
      <c r="I92" s="5"/>
    </row>
    <row r="93" spans="2:9" x14ac:dyDescent="0.4">
      <c r="B93" s="5"/>
      <c r="C93" s="5"/>
      <c r="D93" s="5"/>
      <c r="E93" s="5"/>
      <c r="F93" s="5"/>
      <c r="G93" s="5"/>
      <c r="H93" s="5"/>
      <c r="I93" s="5"/>
    </row>
    <row r="94" spans="2:9" x14ac:dyDescent="0.4">
      <c r="B94" s="5"/>
      <c r="C94" s="5"/>
      <c r="D94" s="5"/>
      <c r="E94" s="5"/>
      <c r="F94" s="5"/>
      <c r="G94" s="5"/>
      <c r="H94" s="5"/>
      <c r="I94" s="5"/>
    </row>
    <row r="95" spans="2:9" x14ac:dyDescent="0.4">
      <c r="B95" s="5"/>
      <c r="C95" s="5"/>
      <c r="D95" s="5"/>
      <c r="E95" s="5"/>
      <c r="F95" s="5"/>
      <c r="G95" s="5"/>
      <c r="H95" s="5"/>
      <c r="I95" s="5"/>
    </row>
    <row r="96" spans="2:9" x14ac:dyDescent="0.4">
      <c r="B96" s="5"/>
      <c r="C96" s="5"/>
      <c r="D96" s="5"/>
      <c r="E96" s="5"/>
      <c r="F96" s="5"/>
      <c r="G96" s="5"/>
      <c r="H96" s="5"/>
      <c r="I96" s="5"/>
    </row>
    <row r="97" spans="2:9" x14ac:dyDescent="0.4">
      <c r="B97" s="5"/>
      <c r="C97" s="5"/>
      <c r="D97" s="5"/>
      <c r="E97" s="5"/>
      <c r="F97" s="5"/>
      <c r="G97" s="5"/>
      <c r="H97" s="5"/>
      <c r="I97" s="5"/>
    </row>
    <row r="98" spans="2:9" x14ac:dyDescent="0.4">
      <c r="B98" s="5"/>
      <c r="C98" s="5"/>
      <c r="D98" s="5"/>
      <c r="E98" s="5"/>
      <c r="F98" s="5"/>
      <c r="G98" s="5"/>
      <c r="H98" s="5"/>
      <c r="I98" s="5"/>
    </row>
    <row r="99" spans="2:9" x14ac:dyDescent="0.4">
      <c r="B99" s="5"/>
      <c r="C99" s="5"/>
      <c r="D99" s="5"/>
      <c r="E99" s="5"/>
      <c r="F99" s="5"/>
      <c r="G99" s="5"/>
      <c r="H99" s="5"/>
      <c r="I99" s="5"/>
    </row>
    <row r="100" spans="2:9" x14ac:dyDescent="0.4">
      <c r="B100" s="5"/>
      <c r="C100" s="5"/>
      <c r="D100" s="5"/>
      <c r="E100" s="5"/>
      <c r="F100" s="5"/>
      <c r="G100" s="5"/>
      <c r="H100" s="5"/>
      <c r="I100" s="5"/>
    </row>
    <row r="101" spans="2:9" x14ac:dyDescent="0.4">
      <c r="B101" s="5"/>
      <c r="C101" s="5"/>
      <c r="D101" s="5"/>
      <c r="E101" s="5"/>
      <c r="F101" s="5"/>
      <c r="G101" s="5"/>
      <c r="H101" s="5"/>
      <c r="I101" s="5"/>
    </row>
    <row r="102" spans="2:9" x14ac:dyDescent="0.4">
      <c r="B102" s="5"/>
      <c r="C102" s="5"/>
      <c r="D102" s="5"/>
      <c r="E102" s="5"/>
      <c r="F102" s="5"/>
      <c r="G102" s="5"/>
      <c r="H102" s="5"/>
      <c r="I102" s="5"/>
    </row>
    <row r="103" spans="2:9" x14ac:dyDescent="0.4">
      <c r="B103" s="5"/>
      <c r="C103" s="5"/>
      <c r="D103" s="5"/>
      <c r="E103" s="5"/>
      <c r="F103" s="5"/>
      <c r="G103" s="5"/>
      <c r="H103" s="5"/>
      <c r="I103" s="5"/>
    </row>
    <row r="104" spans="2:9" x14ac:dyDescent="0.4">
      <c r="B104" s="5"/>
      <c r="C104" s="5"/>
      <c r="D104" s="5"/>
      <c r="E104" s="5"/>
      <c r="F104" s="5"/>
      <c r="G104" s="5"/>
      <c r="H104" s="5"/>
      <c r="I104" s="5"/>
    </row>
    <row r="105" spans="2:9" x14ac:dyDescent="0.4">
      <c r="B105" s="5"/>
      <c r="C105" s="5"/>
      <c r="D105" s="5"/>
      <c r="E105" s="5"/>
      <c r="F105" s="5"/>
      <c r="G105" s="5"/>
      <c r="H105" s="5"/>
      <c r="I105" s="5"/>
    </row>
    <row r="106" spans="2:9" x14ac:dyDescent="0.4">
      <c r="B106" s="5"/>
      <c r="C106" s="5"/>
      <c r="D106" s="5"/>
      <c r="E106" s="5"/>
      <c r="F106" s="5"/>
      <c r="G106" s="5"/>
      <c r="H106" s="5"/>
      <c r="I106" s="5"/>
    </row>
    <row r="107" spans="2:9" x14ac:dyDescent="0.4">
      <c r="B107" s="5"/>
      <c r="C107" s="5"/>
      <c r="D107" s="5"/>
      <c r="E107" s="5"/>
      <c r="F107" s="5"/>
      <c r="G107" s="5"/>
      <c r="H107" s="5"/>
      <c r="I107" s="5"/>
    </row>
    <row r="108" spans="2:9" x14ac:dyDescent="0.4">
      <c r="B108" s="5"/>
      <c r="C108" s="5"/>
      <c r="D108" s="5"/>
      <c r="E108" s="5"/>
      <c r="F108" s="5"/>
      <c r="G108" s="5"/>
      <c r="H108" s="5"/>
      <c r="I108" s="5"/>
    </row>
    <row r="109" spans="2:9" x14ac:dyDescent="0.4">
      <c r="B109" s="5"/>
      <c r="C109" s="5"/>
      <c r="D109" s="5"/>
      <c r="E109" s="5"/>
      <c r="F109" s="5"/>
      <c r="G109" s="5"/>
      <c r="H109" s="5"/>
      <c r="I109" s="5"/>
    </row>
    <row r="110" spans="2:9" x14ac:dyDescent="0.4">
      <c r="B110" s="5"/>
      <c r="C110" s="5"/>
      <c r="D110" s="5"/>
      <c r="E110" s="5"/>
      <c r="F110" s="5"/>
      <c r="G110" s="5"/>
      <c r="H110" s="5"/>
      <c r="I110" s="5"/>
    </row>
    <row r="111" spans="2:9" x14ac:dyDescent="0.4">
      <c r="B111" s="5"/>
      <c r="C111" s="5"/>
      <c r="D111" s="5"/>
      <c r="E111" s="5"/>
      <c r="F111" s="5"/>
      <c r="G111" s="5"/>
      <c r="H111" s="5"/>
      <c r="I111" s="5"/>
    </row>
    <row r="112" spans="2:9" x14ac:dyDescent="0.4">
      <c r="B112" s="5"/>
      <c r="C112" s="5"/>
      <c r="D112" s="5"/>
      <c r="E112" s="5"/>
      <c r="F112" s="5"/>
      <c r="G112" s="5"/>
      <c r="H112" s="5"/>
      <c r="I112" s="5"/>
    </row>
    <row r="113" spans="2:9" x14ac:dyDescent="0.4">
      <c r="B113" s="5"/>
      <c r="C113" s="5"/>
      <c r="D113" s="5"/>
      <c r="E113" s="5"/>
      <c r="F113" s="5"/>
      <c r="G113" s="5"/>
      <c r="H113" s="5"/>
      <c r="I113" s="5"/>
    </row>
    <row r="114" spans="2:9" x14ac:dyDescent="0.4">
      <c r="B114" s="5"/>
      <c r="C114" s="5"/>
      <c r="D114" s="5"/>
      <c r="E114" s="5"/>
      <c r="F114" s="5"/>
      <c r="G114" s="5"/>
      <c r="H114" s="5"/>
      <c r="I114" s="5"/>
    </row>
    <row r="115" spans="2:9" x14ac:dyDescent="0.4">
      <c r="B115" s="5"/>
      <c r="C115" s="5"/>
      <c r="D115" s="5"/>
      <c r="E115" s="5"/>
      <c r="F115" s="5"/>
      <c r="G115" s="5"/>
      <c r="H115" s="5"/>
      <c r="I115" s="5"/>
    </row>
    <row r="116" spans="2:9" x14ac:dyDescent="0.4">
      <c r="B116" s="5"/>
      <c r="C116" s="5"/>
      <c r="D116" s="5"/>
      <c r="E116" s="5"/>
      <c r="F116" s="5"/>
      <c r="G116" s="5"/>
      <c r="H116" s="5"/>
      <c r="I116" s="5"/>
    </row>
    <row r="117" spans="2:9" x14ac:dyDescent="0.4">
      <c r="B117" s="5"/>
      <c r="C117" s="5"/>
      <c r="D117" s="5"/>
      <c r="E117" s="5"/>
      <c r="F117" s="5"/>
      <c r="G117" s="5"/>
      <c r="H117" s="5"/>
      <c r="I117" s="5"/>
    </row>
    <row r="118" spans="2:9" x14ac:dyDescent="0.4">
      <c r="B118" s="5"/>
      <c r="C118" s="5"/>
      <c r="D118" s="5"/>
      <c r="E118" s="5"/>
      <c r="F118" s="5"/>
      <c r="G118" s="5"/>
      <c r="H118" s="5"/>
      <c r="I118" s="5"/>
    </row>
    <row r="119" spans="2:9" x14ac:dyDescent="0.4">
      <c r="B119" s="5"/>
      <c r="C119" s="5"/>
      <c r="D119" s="5"/>
      <c r="E119" s="5"/>
      <c r="F119" s="5"/>
      <c r="G119" s="5"/>
      <c r="H119" s="5"/>
      <c r="I119" s="5"/>
    </row>
    <row r="120" spans="2:9" x14ac:dyDescent="0.4">
      <c r="B120" s="5"/>
      <c r="C120" s="5"/>
      <c r="D120" s="5"/>
      <c r="E120" s="5"/>
      <c r="F120" s="5"/>
      <c r="G120" s="5"/>
      <c r="H120" s="5"/>
      <c r="I120" s="5"/>
    </row>
    <row r="121" spans="2:9" x14ac:dyDescent="0.4">
      <c r="B121" s="5"/>
      <c r="C121" s="5"/>
      <c r="D121" s="5"/>
      <c r="E121" s="5"/>
      <c r="F121" s="5"/>
      <c r="G121" s="5"/>
      <c r="H121" s="5"/>
      <c r="I121" s="5"/>
    </row>
    <row r="122" spans="2:9" x14ac:dyDescent="0.4">
      <c r="B122" s="5"/>
      <c r="C122" s="5"/>
      <c r="D122" s="5"/>
      <c r="E122" s="5"/>
      <c r="F122" s="5"/>
      <c r="G122" s="5"/>
      <c r="H122" s="5"/>
      <c r="I122" s="5"/>
    </row>
    <row r="123" spans="2:9" x14ac:dyDescent="0.4">
      <c r="B123" s="5"/>
      <c r="C123" s="5"/>
      <c r="D123" s="5"/>
      <c r="E123" s="5"/>
      <c r="F123" s="5"/>
      <c r="G123" s="5"/>
      <c r="H123" s="5"/>
      <c r="I123" s="5"/>
    </row>
    <row r="124" spans="2:9" x14ac:dyDescent="0.4">
      <c r="B124" s="5"/>
      <c r="C124" s="5"/>
      <c r="D124" s="5"/>
      <c r="E124" s="5"/>
      <c r="F124" s="5"/>
      <c r="G124" s="5"/>
      <c r="H124" s="5"/>
      <c r="I124" s="5"/>
    </row>
    <row r="125" spans="2:9" x14ac:dyDescent="0.4">
      <c r="B125" s="5"/>
      <c r="C125" s="5"/>
      <c r="D125" s="5"/>
      <c r="E125" s="5"/>
      <c r="F125" s="5"/>
      <c r="G125" s="5"/>
      <c r="H125" s="5"/>
      <c r="I125" s="5"/>
    </row>
    <row r="126" spans="2:9" x14ac:dyDescent="0.4">
      <c r="B126" s="5"/>
      <c r="C126" s="5"/>
      <c r="D126" s="5"/>
      <c r="E126" s="5"/>
      <c r="F126" s="5"/>
      <c r="G126" s="5"/>
      <c r="H126" s="5"/>
      <c r="I126" s="5"/>
    </row>
    <row r="127" spans="2:9" x14ac:dyDescent="0.4">
      <c r="B127" s="5"/>
      <c r="C127" s="5"/>
      <c r="D127" s="5"/>
      <c r="E127" s="5"/>
      <c r="F127" s="5"/>
      <c r="G127" s="5"/>
      <c r="H127" s="5"/>
      <c r="I127" s="5"/>
    </row>
    <row r="128" spans="2:9" x14ac:dyDescent="0.4">
      <c r="B128" s="5"/>
      <c r="C128" s="5"/>
      <c r="D128" s="5"/>
      <c r="E128" s="5"/>
      <c r="F128" s="5"/>
      <c r="G128" s="5"/>
      <c r="H128" s="5"/>
      <c r="I128" s="5"/>
    </row>
    <row r="129" spans="2:9" x14ac:dyDescent="0.4">
      <c r="B129" s="5"/>
      <c r="C129" s="5"/>
      <c r="D129" s="5"/>
      <c r="E129" s="5"/>
      <c r="F129" s="5"/>
      <c r="G129" s="5"/>
      <c r="H129" s="5"/>
      <c r="I129" s="5"/>
    </row>
    <row r="130" spans="2:9" x14ac:dyDescent="0.4">
      <c r="B130" s="5"/>
      <c r="C130" s="5"/>
      <c r="D130" s="5"/>
      <c r="E130" s="5"/>
      <c r="F130" s="5"/>
      <c r="G130" s="5"/>
      <c r="H130" s="5"/>
      <c r="I130" s="5"/>
    </row>
    <row r="131" spans="2:9" x14ac:dyDescent="0.4">
      <c r="B131" s="5"/>
      <c r="C131" s="5"/>
      <c r="D131" s="5"/>
      <c r="E131" s="5"/>
      <c r="F131" s="5"/>
      <c r="G131" s="5"/>
      <c r="H131" s="5"/>
      <c r="I131" s="5"/>
    </row>
    <row r="132" spans="2:9" x14ac:dyDescent="0.4">
      <c r="B132" s="5"/>
      <c r="C132" s="5"/>
      <c r="D132" s="5"/>
      <c r="E132" s="5"/>
      <c r="F132" s="5"/>
      <c r="G132" s="5"/>
      <c r="H132" s="5"/>
      <c r="I132" s="5"/>
    </row>
    <row r="133" spans="2:9" x14ac:dyDescent="0.4">
      <c r="B133" s="5"/>
      <c r="C133" s="5"/>
      <c r="D133" s="5"/>
      <c r="E133" s="5"/>
      <c r="F133" s="5"/>
      <c r="G133" s="5"/>
      <c r="H133" s="5"/>
      <c r="I133" s="5"/>
    </row>
    <row r="134" spans="2:9" x14ac:dyDescent="0.4">
      <c r="B134" s="5"/>
      <c r="C134" s="5"/>
      <c r="D134" s="5"/>
      <c r="E134" s="5"/>
      <c r="F134" s="5"/>
      <c r="G134" s="5"/>
      <c r="H134" s="5"/>
      <c r="I134" s="5"/>
    </row>
    <row r="135" spans="2:9" x14ac:dyDescent="0.4">
      <c r="B135" s="5"/>
      <c r="C135" s="5"/>
      <c r="D135" s="5"/>
      <c r="E135" s="5"/>
      <c r="F135" s="5"/>
      <c r="G135" s="5"/>
      <c r="H135" s="5"/>
      <c r="I135" s="5"/>
    </row>
    <row r="136" spans="2:9" x14ac:dyDescent="0.4">
      <c r="B136" s="5"/>
      <c r="C136" s="5"/>
      <c r="D136" s="5"/>
      <c r="E136" s="5"/>
      <c r="F136" s="5"/>
      <c r="G136" s="5"/>
      <c r="H136" s="5"/>
      <c r="I136" s="5"/>
    </row>
    <row r="137" spans="2:9" x14ac:dyDescent="0.4">
      <c r="B137" s="5"/>
      <c r="C137" s="5"/>
      <c r="D137" s="5"/>
      <c r="E137" s="5"/>
      <c r="F137" s="5"/>
      <c r="G137" s="5"/>
      <c r="H137" s="5"/>
      <c r="I137" s="5"/>
    </row>
    <row r="138" spans="2:9" x14ac:dyDescent="0.4">
      <c r="B138" s="5"/>
      <c r="C138" s="5"/>
      <c r="D138" s="5"/>
      <c r="E138" s="5"/>
      <c r="F138" s="5"/>
      <c r="G138" s="5"/>
      <c r="H138" s="5"/>
      <c r="I138" s="5"/>
    </row>
    <row r="139" spans="2:9" x14ac:dyDescent="0.4">
      <c r="B139" s="5"/>
      <c r="C139" s="5"/>
      <c r="D139" s="5"/>
      <c r="E139" s="5"/>
      <c r="F139" s="5"/>
      <c r="G139" s="5"/>
      <c r="H139" s="5"/>
      <c r="I139" s="5"/>
    </row>
    <row r="140" spans="2:9" x14ac:dyDescent="0.4">
      <c r="B140" s="5"/>
      <c r="C140" s="5"/>
      <c r="D140" s="5"/>
      <c r="E140" s="5"/>
      <c r="F140" s="5"/>
      <c r="G140" s="5"/>
      <c r="H140" s="5"/>
      <c r="I140" s="5"/>
    </row>
    <row r="141" spans="2:9" x14ac:dyDescent="0.4">
      <c r="B141" s="5"/>
      <c r="C141" s="5"/>
      <c r="D141" s="5"/>
      <c r="E141" s="5"/>
      <c r="F141" s="5"/>
      <c r="G141" s="5"/>
      <c r="H141" s="5"/>
      <c r="I141" s="5"/>
    </row>
    <row r="142" spans="2:9" x14ac:dyDescent="0.4">
      <c r="B142" s="5"/>
      <c r="C142" s="5"/>
      <c r="D142" s="5"/>
      <c r="E142" s="5"/>
      <c r="F142" s="5"/>
      <c r="G142" s="5"/>
      <c r="H142" s="5"/>
      <c r="I142" s="5"/>
    </row>
    <row r="143" spans="2:9" x14ac:dyDescent="0.4">
      <c r="B143" s="5"/>
      <c r="C143" s="5"/>
      <c r="D143" s="5"/>
      <c r="E143" s="5"/>
      <c r="F143" s="5"/>
      <c r="G143" s="5"/>
      <c r="H143" s="5"/>
      <c r="I143" s="5"/>
    </row>
    <row r="144" spans="2:9" x14ac:dyDescent="0.4">
      <c r="B144" s="5"/>
      <c r="C144" s="5"/>
      <c r="D144" s="5"/>
      <c r="E144" s="5"/>
      <c r="F144" s="5"/>
      <c r="G144" s="5"/>
      <c r="H144" s="5"/>
      <c r="I144" s="5"/>
    </row>
    <row r="145" spans="2:9" x14ac:dyDescent="0.4">
      <c r="B145" s="5"/>
      <c r="C145" s="5"/>
      <c r="D145" s="5"/>
      <c r="E145" s="5"/>
      <c r="F145" s="5"/>
      <c r="G145" s="5"/>
      <c r="H145" s="5"/>
      <c r="I145" s="5"/>
    </row>
    <row r="146" spans="2:9" x14ac:dyDescent="0.4">
      <c r="B146" s="5"/>
      <c r="C146" s="5"/>
      <c r="D146" s="5"/>
      <c r="E146" s="5"/>
      <c r="F146" s="5"/>
      <c r="G146" s="5"/>
      <c r="H146" s="5"/>
      <c r="I146" s="5"/>
    </row>
    <row r="147" spans="2:9" x14ac:dyDescent="0.4">
      <c r="B147" s="5"/>
      <c r="C147" s="5"/>
      <c r="D147" s="5"/>
      <c r="E147" s="5"/>
      <c r="F147" s="5"/>
      <c r="G147" s="5"/>
      <c r="H147" s="5"/>
      <c r="I147" s="5"/>
    </row>
    <row r="148" spans="2:9" x14ac:dyDescent="0.4">
      <c r="B148" s="5"/>
      <c r="C148" s="5"/>
      <c r="D148" s="5"/>
      <c r="E148" s="5"/>
      <c r="F148" s="5"/>
      <c r="G148" s="5"/>
      <c r="H148" s="5"/>
      <c r="I148" s="5"/>
    </row>
    <row r="149" spans="2:9" x14ac:dyDescent="0.4">
      <c r="B149" s="5"/>
      <c r="C149" s="5"/>
      <c r="D149" s="5"/>
      <c r="E149" s="5"/>
      <c r="F149" s="5"/>
      <c r="G149" s="5"/>
      <c r="H149" s="5"/>
      <c r="I149" s="5"/>
    </row>
    <row r="150" spans="2:9" x14ac:dyDescent="0.4">
      <c r="B150" s="5"/>
      <c r="C150" s="5"/>
      <c r="D150" s="5"/>
      <c r="E150" s="5"/>
      <c r="F150" s="5"/>
      <c r="G150" s="5"/>
      <c r="H150" s="5"/>
      <c r="I150" s="5"/>
    </row>
    <row r="151" spans="2:9" x14ac:dyDescent="0.4">
      <c r="B151" s="5"/>
      <c r="C151" s="5"/>
      <c r="D151" s="5"/>
      <c r="E151" s="5"/>
      <c r="F151" s="5"/>
      <c r="G151" s="5"/>
      <c r="H151" s="5"/>
      <c r="I151" s="5"/>
    </row>
    <row r="152" spans="2:9" x14ac:dyDescent="0.4">
      <c r="B152" s="5"/>
      <c r="C152" s="5"/>
      <c r="D152" s="5"/>
      <c r="E152" s="5"/>
      <c r="F152" s="5"/>
      <c r="G152" s="5"/>
      <c r="H152" s="5"/>
      <c r="I152" s="5"/>
    </row>
    <row r="153" spans="2:9" x14ac:dyDescent="0.4">
      <c r="B153" s="5"/>
      <c r="C153" s="5"/>
      <c r="D153" s="5"/>
      <c r="E153" s="5"/>
      <c r="F153" s="5"/>
      <c r="G153" s="5"/>
      <c r="H153" s="5"/>
      <c r="I153" s="5"/>
    </row>
    <row r="154" spans="2:9" x14ac:dyDescent="0.4">
      <c r="B154" s="5"/>
      <c r="C154" s="5"/>
      <c r="D154" s="5"/>
      <c r="E154" s="5"/>
      <c r="F154" s="5"/>
      <c r="G154" s="5"/>
      <c r="H154" s="5"/>
      <c r="I154" s="5"/>
    </row>
    <row r="155" spans="2:9" x14ac:dyDescent="0.4">
      <c r="B155" s="5"/>
      <c r="C155" s="5"/>
      <c r="D155" s="5"/>
      <c r="E155" s="5"/>
      <c r="F155" s="5"/>
      <c r="G155" s="5"/>
      <c r="H155" s="5"/>
      <c r="I155" s="5"/>
    </row>
    <row r="156" spans="2:9" x14ac:dyDescent="0.4">
      <c r="B156" s="5"/>
      <c r="C156" s="5"/>
      <c r="D156" s="5"/>
      <c r="E156" s="5"/>
      <c r="F156" s="5"/>
      <c r="G156" s="5"/>
      <c r="H156" s="5"/>
      <c r="I156" s="5"/>
    </row>
    <row r="157" spans="2:9" x14ac:dyDescent="0.4">
      <c r="B157" s="5"/>
      <c r="C157" s="5"/>
      <c r="D157" s="5"/>
      <c r="E157" s="5"/>
      <c r="F157" s="5"/>
      <c r="G157" s="5"/>
      <c r="H157" s="5"/>
      <c r="I157" s="5"/>
    </row>
    <row r="158" spans="2:9" x14ac:dyDescent="0.4">
      <c r="B158" s="5"/>
      <c r="C158" s="5"/>
      <c r="D158" s="5"/>
      <c r="E158" s="5"/>
      <c r="F158" s="5"/>
      <c r="G158" s="5"/>
      <c r="H158" s="5"/>
      <c r="I158" s="5"/>
    </row>
    <row r="159" spans="2:9" x14ac:dyDescent="0.4">
      <c r="B159" s="5"/>
      <c r="C159" s="5"/>
      <c r="D159" s="5"/>
      <c r="E159" s="5"/>
      <c r="F159" s="5"/>
      <c r="G159" s="5"/>
      <c r="H159" s="5"/>
      <c r="I159" s="5"/>
    </row>
    <row r="160" spans="2:9" x14ac:dyDescent="0.4">
      <c r="B160" s="5"/>
      <c r="C160" s="5"/>
      <c r="D160" s="5"/>
      <c r="E160" s="5"/>
      <c r="F160" s="5"/>
      <c r="G160" s="5"/>
      <c r="H160" s="5"/>
      <c r="I160" s="5"/>
    </row>
    <row r="161" spans="2:9" x14ac:dyDescent="0.4">
      <c r="B161" s="5"/>
      <c r="C161" s="5"/>
      <c r="D161" s="5"/>
      <c r="E161" s="5"/>
      <c r="F161" s="5"/>
      <c r="G161" s="5"/>
      <c r="H161" s="5"/>
      <c r="I161" s="5"/>
    </row>
    <row r="162" spans="2:9" x14ac:dyDescent="0.4">
      <c r="B162" s="5"/>
      <c r="C162" s="5"/>
      <c r="D162" s="5"/>
      <c r="E162" s="5"/>
      <c r="F162" s="5"/>
      <c r="G162" s="5"/>
      <c r="H162" s="5"/>
      <c r="I162" s="5"/>
    </row>
    <row r="163" spans="2:9" x14ac:dyDescent="0.4">
      <c r="B163" s="5"/>
      <c r="C163" s="5"/>
      <c r="D163" s="5"/>
      <c r="E163" s="5"/>
      <c r="F163" s="5"/>
      <c r="G163" s="5"/>
      <c r="H163" s="5"/>
      <c r="I163" s="5"/>
    </row>
    <row r="164" spans="2:9" x14ac:dyDescent="0.4">
      <c r="B164" s="5"/>
      <c r="C164" s="5"/>
      <c r="D164" s="5"/>
      <c r="E164" s="5"/>
      <c r="F164" s="5"/>
      <c r="G164" s="5"/>
      <c r="H164" s="5"/>
      <c r="I164" s="5"/>
    </row>
    <row r="165" spans="2:9" x14ac:dyDescent="0.4">
      <c r="B165" s="5"/>
      <c r="C165" s="5"/>
      <c r="D165" s="5"/>
      <c r="E165" s="5"/>
      <c r="F165" s="5"/>
      <c r="G165" s="5"/>
      <c r="H165" s="5"/>
      <c r="I165" s="5"/>
    </row>
    <row r="166" spans="2:9" x14ac:dyDescent="0.4">
      <c r="B166" s="5"/>
      <c r="C166" s="5"/>
      <c r="D166" s="5"/>
      <c r="E166" s="5"/>
      <c r="F166" s="5"/>
      <c r="G166" s="5"/>
      <c r="H166" s="5"/>
      <c r="I166" s="5"/>
    </row>
    <row r="167" spans="2:9" x14ac:dyDescent="0.4">
      <c r="B167" s="5"/>
      <c r="C167" s="5"/>
      <c r="D167" s="5"/>
      <c r="E167" s="5"/>
      <c r="F167" s="5"/>
      <c r="G167" s="5"/>
      <c r="H167" s="5"/>
      <c r="I167" s="5"/>
    </row>
    <row r="168" spans="2:9" x14ac:dyDescent="0.4">
      <c r="B168" s="5"/>
      <c r="C168" s="5"/>
      <c r="D168" s="5"/>
      <c r="E168" s="5"/>
      <c r="F168" s="5"/>
      <c r="G168" s="5"/>
      <c r="H168" s="5"/>
      <c r="I168" s="5"/>
    </row>
    <row r="169" spans="2:9" x14ac:dyDescent="0.4">
      <c r="B169" s="5"/>
      <c r="C169" s="5"/>
      <c r="D169" s="5"/>
      <c r="E169" s="5"/>
      <c r="F169" s="5"/>
      <c r="G169" s="5"/>
      <c r="H169" s="5"/>
      <c r="I169" s="5"/>
    </row>
    <row r="170" spans="2:9" x14ac:dyDescent="0.4">
      <c r="B170" s="5"/>
      <c r="C170" s="5"/>
      <c r="D170" s="5"/>
      <c r="E170" s="5"/>
      <c r="F170" s="5"/>
      <c r="G170" s="5"/>
      <c r="H170" s="5"/>
      <c r="I170" s="5"/>
    </row>
    <row r="171" spans="2:9" x14ac:dyDescent="0.4">
      <c r="B171" s="5"/>
      <c r="C171" s="5"/>
      <c r="D171" s="5"/>
      <c r="E171" s="5"/>
      <c r="F171" s="5"/>
      <c r="G171" s="5"/>
      <c r="H171" s="5"/>
      <c r="I171" s="5"/>
    </row>
    <row r="172" spans="2:9" x14ac:dyDescent="0.4">
      <c r="B172" s="5"/>
      <c r="C172" s="5"/>
      <c r="D172" s="5"/>
      <c r="E172" s="5"/>
      <c r="F172" s="5"/>
      <c r="G172" s="5"/>
      <c r="H172" s="5"/>
      <c r="I172" s="5"/>
    </row>
    <row r="173" spans="2:9" x14ac:dyDescent="0.4">
      <c r="B173" s="5"/>
      <c r="C173" s="5"/>
      <c r="D173" s="5"/>
      <c r="E173" s="5"/>
      <c r="F173" s="5"/>
      <c r="G173" s="5"/>
      <c r="H173" s="5"/>
      <c r="I173" s="5"/>
    </row>
    <row r="174" spans="2:9" x14ac:dyDescent="0.4">
      <c r="B174" s="5"/>
      <c r="C174" s="5"/>
      <c r="D174" s="5"/>
      <c r="E174" s="5"/>
      <c r="F174" s="5"/>
      <c r="G174" s="5"/>
      <c r="H174" s="5"/>
      <c r="I174" s="5"/>
    </row>
    <row r="175" spans="2:9" x14ac:dyDescent="0.4">
      <c r="B175" s="5"/>
      <c r="C175" s="5"/>
      <c r="D175" s="5"/>
      <c r="E175" s="5"/>
      <c r="F175" s="5"/>
      <c r="G175" s="5"/>
      <c r="H175" s="5"/>
      <c r="I175" s="5"/>
    </row>
    <row r="176" spans="2:9" x14ac:dyDescent="0.4">
      <c r="B176" s="5"/>
      <c r="C176" s="5"/>
      <c r="D176" s="5"/>
      <c r="E176" s="5"/>
      <c r="F176" s="5"/>
      <c r="G176" s="5"/>
      <c r="H176" s="5"/>
      <c r="I176" s="5"/>
    </row>
    <row r="177" spans="2:9" x14ac:dyDescent="0.4">
      <c r="B177" s="5"/>
      <c r="C177" s="5"/>
      <c r="D177" s="5"/>
      <c r="E177" s="5"/>
      <c r="F177" s="5"/>
      <c r="G177" s="5"/>
      <c r="H177" s="5"/>
      <c r="I177" s="5"/>
    </row>
    <row r="178" spans="2:9" x14ac:dyDescent="0.4">
      <c r="B178" s="5"/>
      <c r="C178" s="5"/>
      <c r="D178" s="5"/>
      <c r="E178" s="5"/>
      <c r="F178" s="5"/>
      <c r="G178" s="5"/>
      <c r="H178" s="5"/>
      <c r="I178" s="5"/>
    </row>
    <row r="179" spans="2:9" x14ac:dyDescent="0.4">
      <c r="B179" s="5"/>
      <c r="C179" s="5"/>
      <c r="D179" s="5"/>
      <c r="E179" s="5"/>
      <c r="F179" s="5"/>
      <c r="G179" s="5"/>
      <c r="H179" s="5"/>
      <c r="I179" s="5"/>
    </row>
    <row r="180" spans="2:9" x14ac:dyDescent="0.4">
      <c r="B180" s="5"/>
      <c r="C180" s="5"/>
      <c r="D180" s="5"/>
      <c r="E180" s="5"/>
      <c r="F180" s="5"/>
      <c r="G180" s="5"/>
      <c r="H180" s="5"/>
      <c r="I180" s="5"/>
    </row>
    <row r="181" spans="2:9" x14ac:dyDescent="0.4">
      <c r="B181" s="5"/>
      <c r="C181" s="5"/>
      <c r="D181" s="5"/>
      <c r="E181" s="5"/>
      <c r="F181" s="5"/>
      <c r="G181" s="5"/>
      <c r="H181" s="5"/>
      <c r="I181" s="5"/>
    </row>
    <row r="182" spans="2:9" x14ac:dyDescent="0.4">
      <c r="B182" s="5"/>
      <c r="C182" s="5"/>
      <c r="D182" s="5"/>
      <c r="E182" s="5"/>
      <c r="F182" s="5"/>
      <c r="G182" s="5"/>
      <c r="H182" s="5"/>
      <c r="I182" s="5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tabSelected="1" topLeftCell="A5" workbookViewId="0">
      <selection activeCell="C12" sqref="C12"/>
    </sheetView>
  </sheetViews>
  <sheetFormatPr defaultRowHeight="17.399999999999999" x14ac:dyDescent="0.4"/>
  <cols>
    <col min="1" max="1" width="42" customWidth="1"/>
    <col min="2" max="2" width="18" customWidth="1"/>
    <col min="3" max="3" width="34" customWidth="1"/>
  </cols>
  <sheetData>
    <row r="1" spans="1:3" ht="20.399999999999999" x14ac:dyDescent="0.45">
      <c r="A1" s="1" t="s">
        <v>71</v>
      </c>
    </row>
    <row r="3" spans="1:3" x14ac:dyDescent="0.4">
      <c r="A3" s="4" t="s">
        <v>72</v>
      </c>
    </row>
    <row r="4" spans="1:3" x14ac:dyDescent="0.4">
      <c r="A4" s="2" t="s">
        <v>73</v>
      </c>
      <c r="B4" s="2" t="s">
        <v>74</v>
      </c>
      <c r="C4" s="2" t="s">
        <v>75</v>
      </c>
    </row>
    <row r="5" spans="1:3" x14ac:dyDescent="0.4">
      <c r="A5" t="s">
        <v>76</v>
      </c>
      <c r="B5" s="5">
        <f>월별요약!B17</f>
        <v>800000</v>
      </c>
      <c r="C5" t="s">
        <v>77</v>
      </c>
    </row>
    <row r="6" spans="1:3" x14ac:dyDescent="0.4">
      <c r="A6" t="s">
        <v>78</v>
      </c>
      <c r="B6" s="5">
        <f>B5/1.1</f>
        <v>727272.72727272718</v>
      </c>
    </row>
    <row r="7" spans="1:3" x14ac:dyDescent="0.4">
      <c r="A7" t="s">
        <v>54</v>
      </c>
      <c r="B7" s="5">
        <f>월별요약!F17</f>
        <v>663000</v>
      </c>
      <c r="C7" t="s">
        <v>77</v>
      </c>
    </row>
    <row r="8" spans="1:3" x14ac:dyDescent="0.4">
      <c r="A8" t="s">
        <v>79</v>
      </c>
      <c r="B8" s="5">
        <f>SUMIFS(거래장부!$H$4:$H$499,거래장부!$J$4:$J$499,"세금계산서",거래장부!$B$4:$B$499,"&lt;&gt;매출")</f>
        <v>46636</v>
      </c>
      <c r="C8" t="s">
        <v>80</v>
      </c>
    </row>
    <row r="9" spans="1:3" x14ac:dyDescent="0.4">
      <c r="B9" s="5"/>
    </row>
    <row r="10" spans="1:3" x14ac:dyDescent="0.4">
      <c r="A10" s="4" t="s">
        <v>81</v>
      </c>
      <c r="B10" s="5"/>
    </row>
    <row r="11" spans="1:3" x14ac:dyDescent="0.4">
      <c r="A11" t="s">
        <v>82</v>
      </c>
      <c r="B11" s="5">
        <f>B5/11</f>
        <v>72727.272727272721</v>
      </c>
    </row>
    <row r="12" spans="1:3" x14ac:dyDescent="0.4">
      <c r="A12" t="s">
        <v>83</v>
      </c>
      <c r="B12" s="5">
        <f>B8</f>
        <v>46636</v>
      </c>
    </row>
    <row r="13" spans="1:3" x14ac:dyDescent="0.4">
      <c r="A13" t="s">
        <v>84</v>
      </c>
      <c r="B13" s="5">
        <f>MAX(B11-B12,0)</f>
        <v>26091.272727272721</v>
      </c>
    </row>
    <row r="14" spans="1:3" x14ac:dyDescent="0.4">
      <c r="B14" s="5"/>
    </row>
    <row r="15" spans="1:3" x14ac:dyDescent="0.4">
      <c r="A15" s="4" t="s">
        <v>85</v>
      </c>
      <c r="B15" s="5"/>
    </row>
    <row r="16" spans="1:3" x14ac:dyDescent="0.4">
      <c r="A16" t="s">
        <v>86</v>
      </c>
      <c r="B16" s="5">
        <f>B6-B7</f>
        <v>64272.727272727177</v>
      </c>
    </row>
    <row r="17" spans="1:2" x14ac:dyDescent="0.4">
      <c r="A17" t="s">
        <v>87</v>
      </c>
      <c r="B17" s="5">
        <f>B16*0.15</f>
        <v>9640.9090909090755</v>
      </c>
    </row>
    <row r="18" spans="1:2" x14ac:dyDescent="0.4">
      <c r="B18" s="5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defaultRowHeight="17.399999999999999" x14ac:dyDescent="0.4"/>
  <cols>
    <col min="1" max="1" width="30" customWidth="1"/>
    <col min="2" max="2" width="70" customWidth="1"/>
  </cols>
  <sheetData>
    <row r="1" spans="1:2" ht="20.399999999999999" x14ac:dyDescent="0.45">
      <c r="A1" s="1" t="s">
        <v>88</v>
      </c>
    </row>
    <row r="3" spans="1:2" x14ac:dyDescent="0.4">
      <c r="A3" t="s">
        <v>89</v>
      </c>
    </row>
    <row r="4" spans="1:2" x14ac:dyDescent="0.4">
      <c r="A4" t="s">
        <v>2</v>
      </c>
      <c r="B4" t="s">
        <v>90</v>
      </c>
    </row>
    <row r="5" spans="1:2" x14ac:dyDescent="0.4">
      <c r="A5" t="s">
        <v>3</v>
      </c>
      <c r="B5" t="s">
        <v>91</v>
      </c>
    </row>
    <row r="6" spans="1:2" x14ac:dyDescent="0.4">
      <c r="A6" t="s">
        <v>92</v>
      </c>
      <c r="B6" t="s">
        <v>93</v>
      </c>
    </row>
    <row r="7" spans="1:2" x14ac:dyDescent="0.4">
      <c r="A7" t="s">
        <v>8</v>
      </c>
      <c r="B7" t="s">
        <v>94</v>
      </c>
    </row>
    <row r="8" spans="1:2" x14ac:dyDescent="0.4">
      <c r="A8" t="s">
        <v>95</v>
      </c>
      <c r="B8" t="s">
        <v>96</v>
      </c>
    </row>
    <row r="9" spans="1:2" x14ac:dyDescent="0.4">
      <c r="A9" t="s">
        <v>10</v>
      </c>
      <c r="B9" t="s">
        <v>97</v>
      </c>
    </row>
    <row r="11" spans="1:2" x14ac:dyDescent="0.4">
      <c r="A11" t="s">
        <v>98</v>
      </c>
      <c r="B11" t="s">
        <v>99</v>
      </c>
    </row>
    <row r="13" spans="1:2" x14ac:dyDescent="0.4">
      <c r="A13" t="s">
        <v>100</v>
      </c>
      <c r="B13" t="s">
        <v>101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거래장부</vt:lpstr>
      <vt:lpstr>월별요약</vt:lpstr>
      <vt:lpstr>세금계산기</vt:lpstr>
      <vt:lpstr>사용법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 Ha Cha</cp:lastModifiedBy>
  <dcterms:created xsi:type="dcterms:W3CDTF">2026-07-08T14:22:56Z</dcterms:created>
  <dcterms:modified xsi:type="dcterms:W3CDTF">2026-07-08T14:31:35Z</dcterms:modified>
</cp:coreProperties>
</file>